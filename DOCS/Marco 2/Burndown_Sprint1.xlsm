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UFRJ\FES\"/>
    </mc:Choice>
  </mc:AlternateContent>
  <workbookProtection workbookPassword="B126" lockStructure="1"/>
  <bookViews>
    <workbookView xWindow="0" yWindow="0" windowWidth="20490" windowHeight="7425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D3" i="4" l="1"/>
  <c r="Q3" i="4"/>
  <c r="W5" i="4"/>
  <c r="W4" i="4"/>
  <c r="AI5" i="4"/>
  <c r="AI4" i="4"/>
  <c r="AU5" i="4"/>
  <c r="AU4" i="4"/>
  <c r="BG5" i="4"/>
  <c r="BG4" i="4"/>
  <c r="L3" i="4"/>
  <c r="X4" i="4"/>
  <c r="X5" i="4"/>
  <c r="AJ4" i="4"/>
  <c r="AJ5" i="4"/>
  <c r="AV4" i="4"/>
  <c r="AV5" i="4"/>
  <c r="BH5" i="4"/>
  <c r="BH4" i="4"/>
  <c r="M3" i="4"/>
  <c r="G3" i="4"/>
  <c r="T5" i="4"/>
  <c r="T4" i="4"/>
  <c r="I3" i="4"/>
  <c r="O3" i="4"/>
  <c r="U4" i="4"/>
  <c r="U5" i="4"/>
  <c r="AA4" i="4"/>
  <c r="AA5" i="4"/>
  <c r="AG4" i="4"/>
  <c r="AG5" i="4"/>
  <c r="AM4" i="4"/>
  <c r="AM5" i="4"/>
  <c r="AS4" i="4"/>
  <c r="AS5" i="4"/>
  <c r="AY4" i="4"/>
  <c r="AY5" i="4"/>
  <c r="BE4" i="4"/>
  <c r="BE5" i="4"/>
  <c r="H3" i="4"/>
  <c r="C3" i="4"/>
  <c r="J3" i="4"/>
  <c r="P3" i="4"/>
  <c r="V5" i="4"/>
  <c r="V4" i="4"/>
  <c r="AB5" i="4"/>
  <c r="AB4" i="4"/>
  <c r="AH5" i="4"/>
  <c r="AH4" i="4"/>
  <c r="AN5" i="4"/>
  <c r="AN4" i="4"/>
  <c r="AT5" i="4"/>
  <c r="AT4" i="4"/>
  <c r="AZ5" i="4"/>
  <c r="AZ4" i="4"/>
  <c r="BF5" i="4"/>
  <c r="BF4" i="4"/>
  <c r="Y5" i="4"/>
  <c r="Y4" i="4"/>
  <c r="AE5" i="4"/>
  <c r="AE4" i="4"/>
  <c r="AK5" i="4"/>
  <c r="AK4" i="4"/>
  <c r="AQ5" i="4"/>
  <c r="AQ4" i="4"/>
  <c r="AW5" i="4"/>
  <c r="AW4" i="4"/>
  <c r="BC5" i="4"/>
  <c r="BC4" i="4"/>
  <c r="BI5" i="4"/>
  <c r="BI4" i="4"/>
  <c r="K3" i="4"/>
  <c r="AC5" i="4"/>
  <c r="AC4" i="4"/>
  <c r="AO5" i="4"/>
  <c r="AO4" i="4"/>
  <c r="BA5" i="4"/>
  <c r="BA4" i="4"/>
  <c r="E3" i="4"/>
  <c r="R3" i="4"/>
  <c r="AD5" i="4"/>
  <c r="AD4" i="4"/>
  <c r="AP5" i="4"/>
  <c r="AP4" i="4"/>
  <c r="BB4" i="4"/>
  <c r="BB5" i="4"/>
  <c r="F3" i="4"/>
  <c r="N3" i="4"/>
  <c r="Z5" i="4"/>
  <c r="Z4" i="4"/>
  <c r="AF5" i="4"/>
  <c r="AF4" i="4"/>
  <c r="AL5" i="4"/>
  <c r="AL4" i="4"/>
  <c r="AR5" i="4"/>
  <c r="AR4" i="4"/>
  <c r="AX5" i="4"/>
  <c r="AX4" i="4"/>
  <c r="BD5" i="4"/>
  <c r="BD4" i="4"/>
  <c r="BJ5" i="4"/>
  <c r="BJ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P4" i="4"/>
  <c r="K4" i="4"/>
  <c r="L4" i="4"/>
  <c r="O4" i="4"/>
  <c r="N4" i="4"/>
  <c r="Q4" i="4"/>
  <c r="J4" i="4"/>
  <c r="R4" i="4"/>
  <c r="M4" i="4"/>
  <c r="F4" i="4"/>
  <c r="C4" i="4"/>
  <c r="I4" i="4"/>
  <c r="E4" i="4"/>
  <c r="H4" i="4"/>
  <c r="D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<sst xmlns="http://schemas.openxmlformats.org/spreadsheetml/2006/main" count="25" uniqueCount="25">
  <si>
    <t>Date</t>
  </si>
  <si>
    <t>Day 0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</si>
  <si>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</si>
  <si>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</si>
  <si>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</si>
  <si>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</si>
  <si>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</si>
  <si>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</si>
  <si>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</si>
  <si>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</si>
  <si>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</si>
  <si>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</si>
  <si>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</si>
  <si>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</si>
  <si>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</si>
  <si>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</si>
  <si>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</si>
  <si>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Completed Tasks</t>
  </si>
  <si>
    <t>Remaining Tasks</t>
  </si>
  <si>
    <t>Customize the Legend</t>
  </si>
  <si>
    <t>Task / Story / Sprints</t>
  </si>
  <si>
    <t>Burndown da primeira Sprint, 13/09 a 19/09. Cada linha corresponde a um item (uma história) da Sprint. Planned Effort tem o total (em horas) de esforço planejado para cada item da Sprint. Nas colunos subsequentes, o total em horas desenvolvido para cada item em determinado dia.</t>
  </si>
  <si>
    <t>Esforço Planejado</t>
  </si>
  <si>
    <t>Horas Restante</t>
  </si>
  <si>
    <t>Gráficos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</si>
</sst>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3" fillId="2" borderId="0" xfId="0" applyFont="1" applyFill="1" applyAlignment="1" applyProtection="1"/>
    <xf numFmtId="0" fontId="0" fillId="2" borderId="0" xfId="0" applyFill="1" applyAlignment="1"/>
    <xf numFmtId="0" fontId="6" fillId="2" borderId="0" xfId="0" applyFont="1" applyFill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13-Sep-18</c:v>
                </c:pt>
                <c:pt idx="2">
                  <c:v>14-Sep-18</c:v>
                </c:pt>
                <c:pt idx="3">
                  <c:v>15-Sep-18</c:v>
                </c:pt>
                <c:pt idx="4">
                  <c:v>16-Sep-18</c:v>
                </c:pt>
                <c:pt idx="5">
                  <c:v>17-Sep-18</c:v>
                </c:pt>
                <c:pt idx="6">
                  <c:v>18-Sep-18</c:v>
                </c:pt>
                <c:pt idx="7">
                  <c:v>19-Sep-18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86</c:v>
                </c:pt>
                <c:pt idx="1">
                  <c:v>73.714285714285708</c:v>
                </c:pt>
                <c:pt idx="2">
                  <c:v>61.428571428571423</c:v>
                </c:pt>
                <c:pt idx="3">
                  <c:v>49.142857142857139</c:v>
                </c:pt>
                <c:pt idx="4">
                  <c:v>36.857142857142854</c:v>
                </c:pt>
                <c:pt idx="5">
                  <c:v>24.571428571428569</c:v>
                </c:pt>
                <c:pt idx="6">
                  <c:v>12.285714285714283</c:v>
                </c:pt>
                <c:pt idx="7">
                  <c:v>-3.5527136788005009E-15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F-48AA-B9BA-3F197FA83E0E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13-Sep-18</c:v>
                </c:pt>
                <c:pt idx="2">
                  <c:v>14-Sep-18</c:v>
                </c:pt>
                <c:pt idx="3">
                  <c:v>15-Sep-18</c:v>
                </c:pt>
                <c:pt idx="4">
                  <c:v>16-Sep-18</c:v>
                </c:pt>
                <c:pt idx="5">
                  <c:v>17-Sep-18</c:v>
                </c:pt>
                <c:pt idx="6">
                  <c:v>18-Sep-18</c:v>
                </c:pt>
                <c:pt idx="7">
                  <c:v>19-Sep-18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86</c:v>
                </c:pt>
                <c:pt idx="1">
                  <c:v>81</c:v>
                </c:pt>
                <c:pt idx="2">
                  <c:v>73</c:v>
                </c:pt>
                <c:pt idx="3">
                  <c:v>65</c:v>
                </c:pt>
                <c:pt idx="4">
                  <c:v>51</c:v>
                </c:pt>
                <c:pt idx="5">
                  <c:v>35</c:v>
                </c:pt>
                <c:pt idx="6">
                  <c:v>16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F-48AA-B9BA-3F197FA8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13-Sep-18</c:v>
                </c:pt>
                <c:pt idx="2">
                  <c:v>14-Sep-18</c:v>
                </c:pt>
                <c:pt idx="3">
                  <c:v>15-Sep-18</c:v>
                </c:pt>
                <c:pt idx="4">
                  <c:v>16-Sep-18</c:v>
                </c:pt>
                <c:pt idx="5">
                  <c:v>17-Sep-18</c:v>
                </c:pt>
                <c:pt idx="6">
                  <c:v>18-Sep-18</c:v>
                </c:pt>
                <c:pt idx="7">
                  <c:v>19-Sep-18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86</c:v>
                </c:pt>
                <c:pt idx="1">
                  <c:v>81</c:v>
                </c:pt>
                <c:pt idx="2">
                  <c:v>73</c:v>
                </c:pt>
                <c:pt idx="3">
                  <c:v>65</c:v>
                </c:pt>
                <c:pt idx="4">
                  <c:v>51</c:v>
                </c:pt>
                <c:pt idx="5">
                  <c:v>35</c:v>
                </c:pt>
                <c:pt idx="6">
                  <c:v>16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13-Sep-18</c:v>
                </c:pt>
                <c:pt idx="2">
                  <c:v>14-Sep-18</c:v>
                </c:pt>
                <c:pt idx="3">
                  <c:v>15-Sep-18</c:v>
                </c:pt>
                <c:pt idx="4">
                  <c:v>16-Sep-18</c:v>
                </c:pt>
                <c:pt idx="5">
                  <c:v>17-Sep-18</c:v>
                </c:pt>
                <c:pt idx="6">
                  <c:v>18-Sep-18</c:v>
                </c:pt>
                <c:pt idx="7">
                  <c:v>19-Sep-18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86</c:v>
                </c:pt>
                <c:pt idx="1">
                  <c:v>73.714285714285708</c:v>
                </c:pt>
                <c:pt idx="2">
                  <c:v>61.428571428571423</c:v>
                </c:pt>
                <c:pt idx="3">
                  <c:v>49.142857142857139</c:v>
                </c:pt>
                <c:pt idx="4">
                  <c:v>36.857142857142854</c:v>
                </c:pt>
                <c:pt idx="5">
                  <c:v>24.571428571428569</c:v>
                </c:pt>
                <c:pt idx="6">
                  <c:v>12.285714285714283</c:v>
                </c:pt>
                <c:pt idx="7">
                  <c:v>-3.5527136788005009E-15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Controle</a:t>
            </a:r>
            <a:r>
              <a:rPr lang="en-US" b="1" baseline="0"/>
              <a:t> de Espaços </a:t>
            </a:r>
            <a:r>
              <a:rPr lang="en-US" b="1"/>
              <a:t>- NCE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13-Sep-18</c:v>
                </c:pt>
                <c:pt idx="2">
                  <c:v>14-Sep-18</c:v>
                </c:pt>
                <c:pt idx="3">
                  <c:v>15-Sep-18</c:v>
                </c:pt>
                <c:pt idx="4">
                  <c:v>16-Sep-18</c:v>
                </c:pt>
                <c:pt idx="5">
                  <c:v>17-Sep-18</c:v>
                </c:pt>
                <c:pt idx="6">
                  <c:v>18-Sep-18</c:v>
                </c:pt>
                <c:pt idx="7">
                  <c:v>19-Sep-18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86</c:v>
                </c:pt>
                <c:pt idx="1">
                  <c:v>81</c:v>
                </c:pt>
                <c:pt idx="2">
                  <c:v>73</c:v>
                </c:pt>
                <c:pt idx="3">
                  <c:v>65</c:v>
                </c:pt>
                <c:pt idx="4">
                  <c:v>51</c:v>
                </c:pt>
                <c:pt idx="5">
                  <c:v>35</c:v>
                </c:pt>
                <c:pt idx="6">
                  <c:v>16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13-Sep-18</c:v>
                </c:pt>
                <c:pt idx="2">
                  <c:v>14-Sep-18</c:v>
                </c:pt>
                <c:pt idx="3">
                  <c:v>15-Sep-18</c:v>
                </c:pt>
                <c:pt idx="4">
                  <c:v>16-Sep-18</c:v>
                </c:pt>
                <c:pt idx="5">
                  <c:v>17-Sep-18</c:v>
                </c:pt>
                <c:pt idx="6">
                  <c:v>18-Sep-18</c:v>
                </c:pt>
                <c:pt idx="7">
                  <c:v>19-Sep-18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86</c:v>
                </c:pt>
                <c:pt idx="1">
                  <c:v>73.714285714285708</c:v>
                </c:pt>
                <c:pt idx="2">
                  <c:v>61.428571428571423</c:v>
                </c:pt>
                <c:pt idx="3">
                  <c:v>49.142857142857139</c:v>
                </c:pt>
                <c:pt idx="4">
                  <c:v>36.857142857142854</c:v>
                </c:pt>
                <c:pt idx="5">
                  <c:v>24.571428571428569</c:v>
                </c:pt>
                <c:pt idx="6">
                  <c:v>12.285714285714283</c:v>
                </c:pt>
                <c:pt idx="7">
                  <c:v>-3.5527136788005009E-15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13-Sep-18</c:v>
                </c:pt>
                <c:pt idx="2">
                  <c:v>14-Sep-18</c:v>
                </c:pt>
                <c:pt idx="3">
                  <c:v>15-Sep-18</c:v>
                </c:pt>
                <c:pt idx="4">
                  <c:v>16-Sep-18</c:v>
                </c:pt>
                <c:pt idx="5">
                  <c:v>17-Sep-18</c:v>
                </c:pt>
                <c:pt idx="6">
                  <c:v>18-Sep-18</c:v>
                </c:pt>
                <c:pt idx="7">
                  <c:v>19-Sep-18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86</c:v>
                </c:pt>
                <c:pt idx="1">
                  <c:v>73.714285714285708</c:v>
                </c:pt>
                <c:pt idx="2">
                  <c:v>61.428571428571423</c:v>
                </c:pt>
                <c:pt idx="3">
                  <c:v>49.142857142857139</c:v>
                </c:pt>
                <c:pt idx="4">
                  <c:v>36.857142857142854</c:v>
                </c:pt>
                <c:pt idx="5">
                  <c:v>24.571428571428569</c:v>
                </c:pt>
                <c:pt idx="6">
                  <c:v>12.285714285714283</c:v>
                </c:pt>
                <c:pt idx="7">
                  <c:v>-3.5527136788005009E-15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7-4EB6-844F-CE37DF23D213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13-Sep-18</c:v>
                </c:pt>
                <c:pt idx="2">
                  <c:v>14-Sep-18</c:v>
                </c:pt>
                <c:pt idx="3">
                  <c:v>15-Sep-18</c:v>
                </c:pt>
                <c:pt idx="4">
                  <c:v>16-Sep-18</c:v>
                </c:pt>
                <c:pt idx="5">
                  <c:v>17-Sep-18</c:v>
                </c:pt>
                <c:pt idx="6">
                  <c:v>18-Sep-18</c:v>
                </c:pt>
                <c:pt idx="7">
                  <c:v>19-Sep-18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86</c:v>
                </c:pt>
                <c:pt idx="1">
                  <c:v>81</c:v>
                </c:pt>
                <c:pt idx="2">
                  <c:v>73</c:v>
                </c:pt>
                <c:pt idx="3">
                  <c:v>65</c:v>
                </c:pt>
                <c:pt idx="4">
                  <c:v>51</c:v>
                </c:pt>
                <c:pt idx="5">
                  <c:v>35</c:v>
                </c:pt>
                <c:pt idx="6">
                  <c:v>16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7-4EB6-844F-CE37DF23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23</xdr:row>
      <xdr:rowOff>180975</xdr:rowOff>
    </xdr:from>
    <xdr:to>
      <xdr:col>19</xdr:col>
      <xdr:colOff>457200</xdr:colOff>
      <xdr:row>42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tabSelected="1" topLeftCell="A28" workbookViewId="0">
      <selection activeCell="N2" sqref="N2"/>
    </sheetView>
  </sheetViews>
  <sheetFormatPr defaultRowHeight="15" x14ac:dyDescent="0.25"/>
  <cols>
    <col min="11" max="11" width="2.5703125" customWidth="1"/>
    <col min="12" max="12" width="20.85546875" bestFit="1" customWidth="1"/>
  </cols>
  <sheetData>
    <row r="1" spans="4:12" x14ac:dyDescent="0.25">
      <c r="D1" s="16" t="s">
        <v>24</v>
      </c>
      <c r="E1" s="14"/>
      <c r="F1" s="14"/>
      <c r="G1" s="14"/>
      <c r="H1" s="14"/>
      <c r="I1" s="14"/>
      <c r="J1" s="15"/>
      <c r="L1" s="9" t="s">
        <v>19</v>
      </c>
    </row>
    <row r="2" spans="4:12" x14ac:dyDescent="0.25">
      <c r="D2" s="14"/>
      <c r="E2" s="14"/>
      <c r="F2" s="14"/>
      <c r="G2" s="14"/>
      <c r="H2" s="14"/>
      <c r="I2" s="14"/>
      <c r="J2" s="15"/>
      <c r="L2" s="1" t="s">
        <v>22</v>
      </c>
    </row>
    <row r="3" spans="4:12" x14ac:dyDescent="0.25">
      <c r="L3" s="1" t="s">
        <v>23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opLeftCell="B1" workbookViewId="0">
      <pane ySplit="2" topLeftCell="A3" activePane="bottomLeft" state="frozen"/>
      <selection pane="bottomLeft" activeCell="J15" sqref="J15"/>
    </sheetView>
  </sheetViews>
  <sheetFormatPr defaultColWidth="0" defaultRowHeight="15" zeroHeight="1" x14ac:dyDescent="0.25"/>
  <cols>
    <col min="1" max="1" width="19.7109375" customWidth="1"/>
    <col min="2" max="2" width="13.85546875" customWidth="1"/>
    <col min="3" max="62" width="9.140625" customWidth="1"/>
    <col min="63" max="16384" width="9.140625" hidden="1"/>
  </cols>
  <sheetData>
    <row r="1" spans="1:62" ht="60" customHeight="1" x14ac:dyDescent="0.25">
      <c r="C1" s="11" t="s">
        <v>21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  <c r="O1" s="13"/>
      <c r="P1" s="13"/>
      <c r="Q1" s="13"/>
      <c r="R1" s="13"/>
      <c r="S1" s="13"/>
      <c r="T1" s="10"/>
    </row>
    <row r="2" spans="1:62" s="1" customFormat="1" x14ac:dyDescent="0.25">
      <c r="A2" s="5" t="s">
        <v>20</v>
      </c>
      <c r="B2" s="5" t="str">
        <f>IF('Burndown Chart'!$L$2="","Planned Effort",'Burndown Chart'!$L$2)</f>
        <v>Esforço Planejado</v>
      </c>
      <c r="C2" s="5">
        <v>43356</v>
      </c>
      <c r="D2" s="5">
        <v>43357</v>
      </c>
      <c r="E2" s="5">
        <v>43358</v>
      </c>
      <c r="F2" s="5">
        <v>43359</v>
      </c>
      <c r="G2" s="5">
        <v>43360</v>
      </c>
      <c r="H2" s="5">
        <v>43361</v>
      </c>
      <c r="I2" s="5">
        <v>43362</v>
      </c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25">
      <c r="A3" t="s">
        <v>2</v>
      </c>
      <c r="B3">
        <v>6</v>
      </c>
      <c r="C3" s="3">
        <v>1</v>
      </c>
      <c r="D3" s="3">
        <v>1</v>
      </c>
      <c r="E3" s="3">
        <v>1</v>
      </c>
      <c r="F3" s="3">
        <v>0</v>
      </c>
      <c r="G3" s="3">
        <v>0</v>
      </c>
      <c r="H3" s="3">
        <v>0</v>
      </c>
      <c r="I3" s="3">
        <v>0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25">
      <c r="A4" t="s">
        <v>3</v>
      </c>
      <c r="B4">
        <v>15</v>
      </c>
      <c r="C4" s="3">
        <v>15</v>
      </c>
      <c r="D4" s="3">
        <v>10</v>
      </c>
      <c r="E4" s="3">
        <v>9</v>
      </c>
      <c r="F4" s="3">
        <v>9</v>
      </c>
      <c r="G4" s="3">
        <v>3</v>
      </c>
      <c r="H4" s="3">
        <v>1</v>
      </c>
      <c r="I4" s="3">
        <v>0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25">
      <c r="A5" t="s">
        <v>4</v>
      </c>
      <c r="B5">
        <v>15</v>
      </c>
      <c r="C5" s="3">
        <v>15</v>
      </c>
      <c r="D5" s="3">
        <v>15</v>
      </c>
      <c r="E5" s="3">
        <v>8</v>
      </c>
      <c r="F5" s="3">
        <v>5</v>
      </c>
      <c r="G5" s="3">
        <v>0</v>
      </c>
      <c r="H5" s="3">
        <v>0</v>
      </c>
      <c r="I5" s="3">
        <v>0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25">
      <c r="A6" t="s">
        <v>5</v>
      </c>
      <c r="B6">
        <v>20</v>
      </c>
      <c r="C6" s="3">
        <v>20</v>
      </c>
      <c r="D6" s="3">
        <v>20</v>
      </c>
      <c r="E6" s="3">
        <v>20</v>
      </c>
      <c r="F6" s="3">
        <v>13</v>
      </c>
      <c r="G6" s="3">
        <v>10</v>
      </c>
      <c r="H6" s="3">
        <v>3</v>
      </c>
      <c r="I6" s="3">
        <v>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25">
      <c r="A7" t="s">
        <v>6</v>
      </c>
      <c r="B7">
        <v>8</v>
      </c>
      <c r="C7" s="3">
        <v>8</v>
      </c>
      <c r="D7" s="3">
        <v>5</v>
      </c>
      <c r="E7" s="3">
        <v>5</v>
      </c>
      <c r="F7" s="3">
        <v>2</v>
      </c>
      <c r="G7" s="3">
        <v>0</v>
      </c>
      <c r="H7" s="3">
        <v>0</v>
      </c>
      <c r="I7" s="3">
        <v>0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25">
      <c r="A8" t="s">
        <v>7</v>
      </c>
      <c r="B8">
        <v>22</v>
      </c>
      <c r="C8" s="3">
        <v>22</v>
      </c>
      <c r="D8" s="3">
        <v>22</v>
      </c>
      <c r="E8" s="3">
        <v>22</v>
      </c>
      <c r="F8" s="3">
        <v>22</v>
      </c>
      <c r="G8" s="3">
        <v>22</v>
      </c>
      <c r="H8" s="3">
        <v>12</v>
      </c>
      <c r="I8" s="3">
        <v>0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25">
      <c r="A9" t="s">
        <v>8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25">
      <c r="A10" t="s">
        <v>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25">
      <c r="A11" t="s">
        <v>10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25">
      <c r="A12" t="s">
        <v>11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25">
      <c r="A13" t="s">
        <v>12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25">
      <c r="A14" t="s">
        <v>13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25">
      <c r="A15" t="s">
        <v>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25">
      <c r="A16" t="s">
        <v>15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1:62" x14ac:dyDescent="0.25">
      <c r="A17" t="s">
        <v>16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1:62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1:62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1:62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1:62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1:62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1:62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1:62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1:62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1:62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1:62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1:62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1:62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1:62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1:62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1:62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25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>
      <formula1>0</formula1>
    </dataValidation>
    <dataValidation type="custom" showInputMessage="1" showErrorMessage="1" errorTitle="Input Error" error="Read the Validations Rules to Input Right Data" sqref="C3:BJ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5" x14ac:dyDescent="0.25"/>
  <cols>
    <col min="1" max="1" width="16" style="1" bestFit="1" customWidth="1"/>
    <col min="2" max="2" width="9.42578125" style="2" customWidth="1"/>
    <col min="3" max="62" width="9.140625" customWidth="1"/>
    <col min="63" max="16384" width="9.140625" hidden="1"/>
  </cols>
  <sheetData>
    <row r="1" spans="1:62" s="1" customFormat="1" x14ac:dyDescent="0.25">
      <c r="A1" s="1" t="s">
        <v>0</v>
      </c>
      <c r="B1" s="1" t="s">
        <v>1</v>
      </c>
      <c r="C1" s="8">
        <f>IF(Input!C$2="","",Input!C$2)</f>
        <v>43356</v>
      </c>
      <c r="D1" s="8">
        <f>IF(Input!D$2="","",Input!D$2)</f>
        <v>43357</v>
      </c>
      <c r="E1" s="8">
        <f>IF(Input!E$2="","",Input!E$2)</f>
        <v>43358</v>
      </c>
      <c r="F1" s="8">
        <f>IF(Input!F$2="","",Input!F$2)</f>
        <v>43359</v>
      </c>
      <c r="G1" s="8">
        <f>IF(Input!G$2="","",Input!G$2)</f>
        <v>43360</v>
      </c>
      <c r="H1" s="8">
        <f>IF(Input!H$2="","",Input!H$2)</f>
        <v>43361</v>
      </c>
      <c r="I1" s="8">
        <f>IF(Input!I$2="","",Input!I$2)</f>
        <v>43362</v>
      </c>
      <c r="J1" s="8" t="str">
        <f>IF(Input!J$2="","",Input!J$2)</f>
        <v/>
      </c>
      <c r="K1" s="8" t="str">
        <f>IF(Input!K$2="","",Input!K$2)</f>
        <v/>
      </c>
      <c r="L1" s="8" t="str">
        <f>IF(Input!L$2="","",Input!L$2)</f>
        <v/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25">
      <c r="A2" s="6" t="str">
        <f>IF('Burndown Chart'!$L$2="","Planned Effort",'Burndown Chart'!$L$2)</f>
        <v>Esforço Planejado</v>
      </c>
      <c r="B2" s="7">
        <f>SUM(Input!$B$3:$B$202)</f>
        <v>86</v>
      </c>
      <c r="C2" s="4">
        <f t="shared" ref="C2:AH2" si="0">IF(C$1="","",B$2-$B$2/(SUMPRODUCT(--($C$1:$BJ$1&lt;&gt;""))))</f>
        <v>73.714285714285708</v>
      </c>
      <c r="D2" s="4">
        <f t="shared" si="0"/>
        <v>61.428571428571423</v>
      </c>
      <c r="E2" s="4">
        <f t="shared" si="0"/>
        <v>49.142857142857139</v>
      </c>
      <c r="F2" s="4">
        <f t="shared" si="0"/>
        <v>36.857142857142854</v>
      </c>
      <c r="G2" s="4">
        <f t="shared" si="0"/>
        <v>24.571428571428569</v>
      </c>
      <c r="H2" s="4">
        <f t="shared" si="0"/>
        <v>12.285714285714283</v>
      </c>
      <c r="I2" s="4">
        <f t="shared" si="0"/>
        <v>-3.5527136788005009E-15</v>
      </c>
      <c r="J2" s="4" t="str">
        <f t="shared" si="0"/>
        <v/>
      </c>
      <c r="K2" s="4" t="str">
        <f t="shared" si="0"/>
        <v/>
      </c>
      <c r="L2" s="4" t="str">
        <f t="shared" si="0"/>
        <v/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25">
      <c r="A3" s="6" t="str">
        <f>IF('Burndown Chart'!$L$3="","Hours Remaining",'Burndown Chart'!$L$3)</f>
        <v>Horas Restante</v>
      </c>
      <c r="B3" s="7">
        <f>SUM(Input!$B$3:$B$202)</f>
        <v>86</v>
      </c>
      <c r="C3" s="4">
        <f>IF(C$1="","",SUM(Input!C$3:C$202))</f>
        <v>81</v>
      </c>
      <c r="D3" s="4">
        <f>IF(D$1="","",SUM(Input!D$3:D$202))</f>
        <v>73</v>
      </c>
      <c r="E3" s="4">
        <f>IF(E$1="","",SUM(Input!E$3:E$202))</f>
        <v>65</v>
      </c>
      <c r="F3" s="4">
        <f>IF(F$1="","",SUM(Input!F$3:F$202))</f>
        <v>51</v>
      </c>
      <c r="G3" s="4">
        <f>IF(G$1="","",SUM(Input!G$3:G$202))</f>
        <v>35</v>
      </c>
      <c r="H3" s="4">
        <f>IF(H$1="","",SUM(Input!H$3:H$202))</f>
        <v>16</v>
      </c>
      <c r="I3" s="4">
        <f>IF(I$1="","",SUM(Input!I$3:I$202))</f>
        <v>0</v>
      </c>
      <c r="J3" s="4" t="str">
        <f>IF(J$1="","",SUM(Input!J$3:J$202))</f>
        <v/>
      </c>
      <c r="K3" s="4" t="str">
        <f>IF(K$1="","",SUM(Input!K$3:K$202))</f>
        <v/>
      </c>
      <c r="L3" s="4" t="str">
        <f>IF(L$1="","",SUM(Input!L$3:L$202))</f>
        <v/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25">
      <c r="A4" s="1" t="s">
        <v>17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0</v>
      </c>
      <c r="F4">
        <f ca="1">IF(F$1="","",CountCTs(Input!F$3:F$202))</f>
        <v>1</v>
      </c>
      <c r="G4">
        <f ca="1">IF(G$1="","",CountCTs(Input!G$3:G$202))</f>
        <v>2</v>
      </c>
      <c r="H4">
        <f ca="1">IF(H$1="","",CountCTs(Input!H$3:H$202))</f>
        <v>0</v>
      </c>
      <c r="I4">
        <f ca="1">IF(I$1="","",CountCTs(Input!I$3:I$202))</f>
        <v>3</v>
      </c>
      <c r="J4" t="str">
        <f>IF(J$1="","",CountCTs(Input!J$3:J$202))</f>
        <v/>
      </c>
      <c r="K4" t="str">
        <f>IF(K$1="","",CountCTs(Input!K$3:K$202))</f>
        <v/>
      </c>
      <c r="L4" t="str">
        <f>IF(L$1="","",CountCTs(Input!L$3:L$202))</f>
        <v/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25">
      <c r="A5" s="1" t="s">
        <v>18</v>
      </c>
      <c r="B5" s="2">
        <f>SUMPRODUCT(--(Input!$A$3:$A$202&lt;&gt;""))</f>
        <v>15</v>
      </c>
      <c r="C5">
        <f ca="1">IF(C$1="","",B$5-C4)</f>
        <v>15</v>
      </c>
      <c r="D5">
        <f t="shared" ref="D5:BJ5" ca="1" si="2">IF(D$1="","",C$5-D4)</f>
        <v>15</v>
      </c>
      <c r="E5">
        <f t="shared" ca="1" si="2"/>
        <v>15</v>
      </c>
      <c r="F5">
        <f t="shared" ca="1" si="2"/>
        <v>14</v>
      </c>
      <c r="G5">
        <f t="shared" ca="1" si="2"/>
        <v>12</v>
      </c>
      <c r="H5">
        <f t="shared" ca="1" si="2"/>
        <v>12</v>
      </c>
      <c r="I5">
        <f t="shared" ca="1" si="2"/>
        <v>9</v>
      </c>
      <c r="J5" t="str">
        <f t="shared" si="2"/>
        <v/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Nickolas</cp:lastModifiedBy>
  <cp:lastPrinted>2016-02-23T08:42:38Z</cp:lastPrinted>
  <dcterms:created xsi:type="dcterms:W3CDTF">2016-02-23T08:35:30Z</dcterms:created>
  <dcterms:modified xsi:type="dcterms:W3CDTF">2018-12-03T16:00:12Z</dcterms:modified>
</cp:coreProperties>
</file>