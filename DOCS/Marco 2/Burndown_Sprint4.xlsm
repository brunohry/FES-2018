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 activeTab="1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J4" i="4"/>
  <c r="R4" i="4"/>
  <c r="M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<sst xmlns="http://schemas.openxmlformats.org/spreadsheetml/2006/main" count="25" uniqueCount="25">
  <si>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</si>
  <si>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</si>
  <si>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</si>
  <si>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</si>
  <si>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</si>
  <si>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</si>
  <si>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</si>
  <si>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</si>
  <si>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</si>
  <si>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</si>
  <si>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</si>
  <si>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</si>
  <si>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</si>
  <si>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</si>
  <si>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</si>
  <si>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</si>
  <si>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</si>
  <si>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</si>
  <si>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</si>
  <si>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</si>
  <si>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</si>
  <si>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</si>
  <si>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</si>
  <si>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</si>
  <si>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quarta Sprint, 04/10 a 07/10.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</si>
</sst>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5"/>
                <c:pt idx="0">
                  <c:v>22</c:v>
                </c:pt>
                <c:pt idx="1">
                  <c:v>16.5</c:v>
                </c:pt>
                <c:pt idx="2">
                  <c:v>11</c:v>
                </c:pt>
                <c:pt idx="3">
                  <c:v>5.5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5"/>
                <c:pt idx="0">
                  <c:v>22</c:v>
                </c:pt>
                <c:pt idx="1">
                  <c:v>13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5"/>
                <c:pt idx="0">
                  <c:v>22</c:v>
                </c:pt>
                <c:pt idx="1">
                  <c:v>13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5"/>
                <c:pt idx="0">
                  <c:v>22</c:v>
                </c:pt>
                <c:pt idx="1">
                  <c:v>16.5</c:v>
                </c:pt>
                <c:pt idx="2">
                  <c:v>11</c:v>
                </c:pt>
                <c:pt idx="3">
                  <c:v>5.5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5"/>
                <c:pt idx="0">
                  <c:v>22</c:v>
                </c:pt>
                <c:pt idx="1">
                  <c:v>13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5"/>
                <c:pt idx="0">
                  <c:v>22</c:v>
                </c:pt>
                <c:pt idx="1">
                  <c:v>16.5</c:v>
                </c:pt>
                <c:pt idx="2">
                  <c:v>11</c:v>
                </c:pt>
                <c:pt idx="3">
                  <c:v>5.5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5"/>
                <c:pt idx="0">
                  <c:v>22</c:v>
                </c:pt>
                <c:pt idx="1">
                  <c:v>16.5</c:v>
                </c:pt>
                <c:pt idx="2">
                  <c:v>11</c:v>
                </c:pt>
                <c:pt idx="3">
                  <c:v>5.5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5"/>
                <c:pt idx="0">
                  <c:v>Day 0</c:v>
                </c:pt>
                <c:pt idx="1">
                  <c:v>4-Oct-18</c:v>
                </c:pt>
                <c:pt idx="2">
                  <c:v>5-Oct-18</c:v>
                </c:pt>
                <c:pt idx="3">
                  <c:v>6-Oct-18</c:v>
                </c:pt>
                <c:pt idx="4">
                  <c:v>7-Oct-18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5"/>
                <c:pt idx="0">
                  <c:v>22</c:v>
                </c:pt>
                <c:pt idx="1">
                  <c:v>13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workbookViewId="0">
      <selection activeCell="K24" sqref="K24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abSelected="1" topLeftCell="B1" workbookViewId="0">
      <pane ySplit="2" topLeftCell="A3" activePane="bottomLeft" state="frozen"/>
      <selection pane="bottomLeft" activeCell="D14" sqref="D14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43377</v>
      </c>
      <c r="D2" s="5">
        <v>43378</v>
      </c>
      <c r="E2" s="5">
        <v>43379</v>
      </c>
      <c r="F2" s="5">
        <v>43380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3</v>
      </c>
      <c r="C3" s="3">
        <v>0</v>
      </c>
      <c r="D3" s="3">
        <v>0</v>
      </c>
      <c r="E3" s="3">
        <v>0</v>
      </c>
      <c r="F3" s="3">
        <v>0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5</v>
      </c>
      <c r="C4" s="3">
        <v>5</v>
      </c>
      <c r="D4" s="3">
        <v>5</v>
      </c>
      <c r="E4" s="3">
        <v>3</v>
      </c>
      <c r="F4" s="3">
        <v>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5</v>
      </c>
      <c r="C5" s="3">
        <v>5</v>
      </c>
      <c r="D5" s="3">
        <v>5</v>
      </c>
      <c r="E5" s="3">
        <v>0</v>
      </c>
      <c r="F5" s="3">
        <v>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7</v>
      </c>
      <c r="C6" s="3">
        <v>3</v>
      </c>
      <c r="D6" s="3">
        <v>1</v>
      </c>
      <c r="E6" s="3">
        <v>0</v>
      </c>
      <c r="F6" s="3">
        <v>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2</v>
      </c>
      <c r="C7" s="3">
        <v>0</v>
      </c>
      <c r="D7" s="3">
        <v>0</v>
      </c>
      <c r="E7" s="3">
        <v>0</v>
      </c>
      <c r="F7" s="3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43377</v>
      </c>
      <c r="D1" s="8">
        <f>IF(Input!D$2="","",Input!D$2)</f>
        <v>43378</v>
      </c>
      <c r="E1" s="8">
        <f>IF(Input!E$2="","",Input!E$2)</f>
        <v>43379</v>
      </c>
      <c r="F1" s="8">
        <f>IF(Input!F$2="","",Input!F$2)</f>
        <v>43380</v>
      </c>
      <c r="G1" s="8" t="str">
        <f>IF(Input!G$2="","",Input!G$2)</f>
        <v/>
      </c>
      <c r="H1" s="8" t="str">
        <f>IF(Input!H$2="","",Input!H$2)</f>
        <v/>
      </c>
      <c r="I1" s="8" t="str">
        <f>IF(Input!I$2="","",Input!I$2)</f>
        <v/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22</v>
      </c>
      <c r="C2" s="4">
        <f t="shared" ref="C2:AH2" si="0">IF(C$1="","",B$2-$B$2/(SUMPRODUCT(--($C$1:$BJ$1&lt;&gt;""))))</f>
        <v>16.5</v>
      </c>
      <c r="D2" s="4">
        <f t="shared" si="0"/>
        <v>11</v>
      </c>
      <c r="E2" s="4">
        <f t="shared" si="0"/>
        <v>5.5</v>
      </c>
      <c r="F2" s="4">
        <f t="shared" si="0"/>
        <v>0</v>
      </c>
      <c r="G2" s="4" t="str">
        <f t="shared" si="0"/>
        <v/>
      </c>
      <c r="H2" s="4" t="str">
        <f t="shared" si="0"/>
        <v/>
      </c>
      <c r="I2" s="4" t="str">
        <f t="shared" si="0"/>
        <v/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22</v>
      </c>
      <c r="C3" s="4">
        <f>IF(C$1="","",SUM(Input!C$3:C$202))</f>
        <v>13</v>
      </c>
      <c r="D3" s="4">
        <f>IF(D$1="","",SUM(Input!D$3:D$202))</f>
        <v>11</v>
      </c>
      <c r="E3" s="4">
        <f>IF(E$1="","",SUM(Input!E$3:E$202))</f>
        <v>3</v>
      </c>
      <c r="F3" s="4">
        <f>IF(F$1="","",SUM(Input!F$3:F$202))</f>
        <v>0</v>
      </c>
      <c r="G3" s="4" t="str">
        <f>IF(G$1="","",SUM(Input!G$3:G$202))</f>
        <v/>
      </c>
      <c r="H3" s="4" t="str">
        <f>IF(H$1="","",SUM(Input!H$3:H$202))</f>
        <v/>
      </c>
      <c r="I3" s="4" t="str">
        <f>IF(I$1="","",SUM(Input!I$3:I$202))</f>
        <v/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2</v>
      </c>
      <c r="F4">
        <f ca="1">IF(F$1="","",CountCTs(Input!F$3:F$202))</f>
        <v>1</v>
      </c>
      <c r="G4" t="str">
        <f>IF(G$1="","",CountCTs(Input!G$3:G$202))</f>
        <v/>
      </c>
      <c r="H4" t="str">
        <f>IF(H$1="","",CountCTs(Input!H$3:H$202))</f>
        <v/>
      </c>
      <c r="I4" t="str">
        <f>IF(I$1="","",CountCTs(Input!I$3:I$202))</f>
        <v/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13</v>
      </c>
      <c r="F5">
        <f t="shared" ca="1" si="2"/>
        <v>12</v>
      </c>
      <c r="G5" t="str">
        <f t="shared" si="2"/>
        <v/>
      </c>
      <c r="H5" t="str">
        <f t="shared" si="2"/>
        <v/>
      </c>
      <c r="I5" t="str">
        <f t="shared" si="2"/>
        <v/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2018-12-03T16:19:15Z</dcterms:modified>
</cp:coreProperties>
</file>