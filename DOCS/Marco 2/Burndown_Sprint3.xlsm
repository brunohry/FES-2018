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UFRJ\FES\"/>
    </mc:Choice>
  </mc:AlternateContent>
  <workbookProtection workbookPassword="B126" lockStructure="1"/>
  <bookViews>
    <workbookView xWindow="0" yWindow="0" windowWidth="20490" windowHeight="7425"/>
  </bookViews>
  <sheets>
    <sheet name="Burndown Chart" sheetId="1" r:id="rId1"/>
    <sheet name="Input" sheetId="3" r:id="rId2"/>
    <sheet name="Final Data" sheetId="4" state="veryHidden" r:id="rId3"/>
  </sheets>
  <functionGroups builtInGroupCount="18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62913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D3" i="4" l="1"/>
  <c r="Q3" i="4"/>
  <c r="W5" i="4"/>
  <c r="W4" i="4"/>
  <c r="AI5" i="4"/>
  <c r="AI4" i="4"/>
  <c r="AU5" i="4"/>
  <c r="AU4" i="4"/>
  <c r="BG5" i="4"/>
  <c r="BG4" i="4"/>
  <c r="L3" i="4"/>
  <c r="X4" i="4"/>
  <c r="X5" i="4"/>
  <c r="AJ4" i="4"/>
  <c r="AJ5" i="4"/>
  <c r="AV4" i="4"/>
  <c r="AV5" i="4"/>
  <c r="BH5" i="4"/>
  <c r="BH4" i="4"/>
  <c r="M3" i="4"/>
  <c r="G3" i="4"/>
  <c r="T5" i="4"/>
  <c r="T4" i="4"/>
  <c r="I3" i="4"/>
  <c r="O3" i="4"/>
  <c r="U4" i="4"/>
  <c r="U5" i="4"/>
  <c r="AA4" i="4"/>
  <c r="AA5" i="4"/>
  <c r="AG4" i="4"/>
  <c r="AG5" i="4"/>
  <c r="AM4" i="4"/>
  <c r="AM5" i="4"/>
  <c r="AS4" i="4"/>
  <c r="AS5" i="4"/>
  <c r="AY4" i="4"/>
  <c r="AY5" i="4"/>
  <c r="BE4" i="4"/>
  <c r="BE5" i="4"/>
  <c r="H3" i="4"/>
  <c r="C3" i="4"/>
  <c r="J3" i="4"/>
  <c r="P3" i="4"/>
  <c r="V5" i="4"/>
  <c r="V4" i="4"/>
  <c r="AB5" i="4"/>
  <c r="AB4" i="4"/>
  <c r="AH5" i="4"/>
  <c r="AH4" i="4"/>
  <c r="AN5" i="4"/>
  <c r="AN4" i="4"/>
  <c r="AT5" i="4"/>
  <c r="AT4" i="4"/>
  <c r="AZ5" i="4"/>
  <c r="AZ4" i="4"/>
  <c r="BF5" i="4"/>
  <c r="BF4" i="4"/>
  <c r="Y5" i="4"/>
  <c r="Y4" i="4"/>
  <c r="AE5" i="4"/>
  <c r="AE4" i="4"/>
  <c r="AK5" i="4"/>
  <c r="AK4" i="4"/>
  <c r="AQ5" i="4"/>
  <c r="AQ4" i="4"/>
  <c r="AW5" i="4"/>
  <c r="AW4" i="4"/>
  <c r="BC5" i="4"/>
  <c r="BC4" i="4"/>
  <c r="BI5" i="4"/>
  <c r="BI4" i="4"/>
  <c r="K3" i="4"/>
  <c r="AC5" i="4"/>
  <c r="AC4" i="4"/>
  <c r="AO5" i="4"/>
  <c r="AO4" i="4"/>
  <c r="BA5" i="4"/>
  <c r="BA4" i="4"/>
  <c r="E3" i="4"/>
  <c r="R3" i="4"/>
  <c r="AD5" i="4"/>
  <c r="AD4" i="4"/>
  <c r="AP5" i="4"/>
  <c r="AP4" i="4"/>
  <c r="BB4" i="4"/>
  <c r="BB5" i="4"/>
  <c r="F3" i="4"/>
  <c r="N3" i="4"/>
  <c r="Z5" i="4"/>
  <c r="Z4" i="4"/>
  <c r="AF5" i="4"/>
  <c r="AF4" i="4"/>
  <c r="AL5" i="4"/>
  <c r="AL4" i="4"/>
  <c r="AR5" i="4"/>
  <c r="AR4" i="4"/>
  <c r="AX5" i="4"/>
  <c r="AX4" i="4"/>
  <c r="BD5" i="4"/>
  <c r="BD4" i="4"/>
  <c r="BJ5" i="4"/>
  <c r="BJ4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P4" i="4"/>
  <c r="K4" i="4"/>
  <c r="L4" i="4"/>
  <c r="O4" i="4"/>
  <c r="N4" i="4"/>
  <c r="Q4" i="4"/>
  <c r="J4" i="4"/>
  <c r="R4" i="4"/>
  <c r="M4" i="4"/>
  <c r="F4" i="4"/>
  <c r="C4" i="4"/>
  <c r="I4" i="4"/>
  <c r="E4" i="4"/>
  <c r="H4" i="4"/>
  <c r="D4" i="4"/>
  <c r="G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</calcChain>
</file>

<file path=xl/sharedStrings.xml><?xml version="1.0" encoding="utf-8"?>
<sst xmlns="http://schemas.openxmlformats.org/spreadsheetml/2006/main" count="25" uniqueCount="25">
  <si>
    <t>Date</t>
  </si>
  <si>
    <t>Day 0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</si>
  <si>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</si>
  <si>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</si>
  <si>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</si>
  <si>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</si>
  <si>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</si>
  <si>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</si>
  <si>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</si>
  <si>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</si>
  <si>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</si>
  <si>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</si>
  <si>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</si>
  <si>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</si>
  <si>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</si>
  <si>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</si>
  <si>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</si>
  <si>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Completed Tasks</t>
  </si>
  <si>
    <t>Remaining Tasks</t>
  </si>
  <si>
    <t>Customize the Legend</t>
  </si>
  <si>
    <t>Task / Story / Sprints</t>
  </si>
  <si>
    <t>Esforço Planejado</t>
  </si>
  <si>
    <t>Horas Restante</t>
  </si>
  <si>
    <t>Gráficos</t>
  </si>
  <si>
    <t>Burndown da terceira Sprint, 27/09 a 03/10. Cada linha corresponde a um item (uma história) da Sprint, a última linha possui o total de horas para revisão e modificações. Esforço Planejado tem o total (em horas) de esforço planejado para cada item da Sprint. Nas colunos subsequentes, o total em horas desenvolvido para cada item em determinado dia.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</si>
</sst>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\-mmm\-yy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  <font>
      <sz val="2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4" borderId="0" xfId="0" applyFont="1" applyFill="1"/>
    <xf numFmtId="0" fontId="0" fillId="0" borderId="0" xfId="0" applyAlignment="1"/>
    <xf numFmtId="0" fontId="2" fillId="2" borderId="0" xfId="0" applyNumberFormat="1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0" borderId="0" xfId="0" applyFont="1" applyAlignment="1"/>
    <xf numFmtId="0" fontId="3" fillId="2" borderId="0" xfId="0" applyFont="1" applyFill="1" applyAlignment="1" applyProtection="1"/>
    <xf numFmtId="0" fontId="0" fillId="2" borderId="0" xfId="0" applyFill="1" applyAlignment="1"/>
    <xf numFmtId="0" fontId="6" fillId="2" borderId="0" xfId="0" applyFont="1" applyFill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27-Sep-18</c:v>
                </c:pt>
                <c:pt idx="2">
                  <c:v>28-Sep-18</c:v>
                </c:pt>
                <c:pt idx="3">
                  <c:v>29-Sep-18</c:v>
                </c:pt>
                <c:pt idx="4">
                  <c:v>30-Sep-18</c:v>
                </c:pt>
                <c:pt idx="5">
                  <c:v>1-Oct-18</c:v>
                </c:pt>
                <c:pt idx="6">
                  <c:v>2-Oct-18</c:v>
                </c:pt>
                <c:pt idx="7">
                  <c:v>3-Oct-18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67</c:v>
                </c:pt>
                <c:pt idx="1">
                  <c:v>57.428571428571431</c:v>
                </c:pt>
                <c:pt idx="2">
                  <c:v>47.857142857142861</c:v>
                </c:pt>
                <c:pt idx="3">
                  <c:v>38.285714285714292</c:v>
                </c:pt>
                <c:pt idx="4">
                  <c:v>28.714285714285722</c:v>
                </c:pt>
                <c:pt idx="5">
                  <c:v>19.142857142857153</c:v>
                </c:pt>
                <c:pt idx="6">
                  <c:v>9.5714285714285818</c:v>
                </c:pt>
                <c:pt idx="7">
                  <c:v>1.0658141036401503E-14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F-48AA-B9BA-3F197FA83E0E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27-Sep-18</c:v>
                </c:pt>
                <c:pt idx="2">
                  <c:v>28-Sep-18</c:v>
                </c:pt>
                <c:pt idx="3">
                  <c:v>29-Sep-18</c:v>
                </c:pt>
                <c:pt idx="4">
                  <c:v>30-Sep-18</c:v>
                </c:pt>
                <c:pt idx="5">
                  <c:v>1-Oct-18</c:v>
                </c:pt>
                <c:pt idx="6">
                  <c:v>2-Oct-18</c:v>
                </c:pt>
                <c:pt idx="7">
                  <c:v>3-Oct-18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67</c:v>
                </c:pt>
                <c:pt idx="1">
                  <c:v>41</c:v>
                </c:pt>
                <c:pt idx="2">
                  <c:v>30</c:v>
                </c:pt>
                <c:pt idx="3">
                  <c:v>19</c:v>
                </c:pt>
                <c:pt idx="4">
                  <c:v>13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7F-48AA-B9BA-3F197FA83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27-Sep-18</c:v>
                </c:pt>
                <c:pt idx="2">
                  <c:v>28-Sep-18</c:v>
                </c:pt>
                <c:pt idx="3">
                  <c:v>29-Sep-18</c:v>
                </c:pt>
                <c:pt idx="4">
                  <c:v>30-Sep-18</c:v>
                </c:pt>
                <c:pt idx="5">
                  <c:v>1-Oct-18</c:v>
                </c:pt>
                <c:pt idx="6">
                  <c:v>2-Oct-18</c:v>
                </c:pt>
                <c:pt idx="7">
                  <c:v>3-Oct-18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67</c:v>
                </c:pt>
                <c:pt idx="1">
                  <c:v>41</c:v>
                </c:pt>
                <c:pt idx="2">
                  <c:v>30</c:v>
                </c:pt>
                <c:pt idx="3">
                  <c:v>19</c:v>
                </c:pt>
                <c:pt idx="4">
                  <c:v>13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27-Sep-18</c:v>
                </c:pt>
                <c:pt idx="2">
                  <c:v>28-Sep-18</c:v>
                </c:pt>
                <c:pt idx="3">
                  <c:v>29-Sep-18</c:v>
                </c:pt>
                <c:pt idx="4">
                  <c:v>30-Sep-18</c:v>
                </c:pt>
                <c:pt idx="5">
                  <c:v>1-Oct-18</c:v>
                </c:pt>
                <c:pt idx="6">
                  <c:v>2-Oct-18</c:v>
                </c:pt>
                <c:pt idx="7">
                  <c:v>3-Oct-18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67</c:v>
                </c:pt>
                <c:pt idx="1">
                  <c:v>57.428571428571431</c:v>
                </c:pt>
                <c:pt idx="2">
                  <c:v>47.857142857142861</c:v>
                </c:pt>
                <c:pt idx="3">
                  <c:v>38.285714285714292</c:v>
                </c:pt>
                <c:pt idx="4">
                  <c:v>28.714285714285722</c:v>
                </c:pt>
                <c:pt idx="5">
                  <c:v>19.142857142857153</c:v>
                </c:pt>
                <c:pt idx="6">
                  <c:v>9.5714285714285818</c:v>
                </c:pt>
                <c:pt idx="7">
                  <c:v>1.0658141036401503E-14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Controle</a:t>
            </a:r>
            <a:r>
              <a:rPr lang="en-US" b="1" baseline="0"/>
              <a:t> de Espaços </a:t>
            </a:r>
            <a:r>
              <a:rPr lang="en-US" b="1"/>
              <a:t>- NCE</a:t>
            </a:r>
          </a:p>
          <a:p>
            <a:pPr>
              <a:defRPr/>
            </a:pPr>
            <a:r>
              <a:rPr lang="en-US" b="1"/>
              <a:t>Sprint - 1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27-Sep-18</c:v>
                </c:pt>
                <c:pt idx="2">
                  <c:v>28-Sep-18</c:v>
                </c:pt>
                <c:pt idx="3">
                  <c:v>29-Sep-18</c:v>
                </c:pt>
                <c:pt idx="4">
                  <c:v>30-Sep-18</c:v>
                </c:pt>
                <c:pt idx="5">
                  <c:v>1-Oct-18</c:v>
                </c:pt>
                <c:pt idx="6">
                  <c:v>2-Oct-18</c:v>
                </c:pt>
                <c:pt idx="7">
                  <c:v>3-Oct-18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67</c:v>
                </c:pt>
                <c:pt idx="1">
                  <c:v>41</c:v>
                </c:pt>
                <c:pt idx="2">
                  <c:v>30</c:v>
                </c:pt>
                <c:pt idx="3">
                  <c:v>19</c:v>
                </c:pt>
                <c:pt idx="4">
                  <c:v>13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27-Sep-18</c:v>
                </c:pt>
                <c:pt idx="2">
                  <c:v>28-Sep-18</c:v>
                </c:pt>
                <c:pt idx="3">
                  <c:v>29-Sep-18</c:v>
                </c:pt>
                <c:pt idx="4">
                  <c:v>30-Sep-18</c:v>
                </c:pt>
                <c:pt idx="5">
                  <c:v>1-Oct-18</c:v>
                </c:pt>
                <c:pt idx="6">
                  <c:v>2-Oct-18</c:v>
                </c:pt>
                <c:pt idx="7">
                  <c:v>3-Oct-18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67</c:v>
                </c:pt>
                <c:pt idx="1">
                  <c:v>57.428571428571431</c:v>
                </c:pt>
                <c:pt idx="2">
                  <c:v>47.857142857142861</c:v>
                </c:pt>
                <c:pt idx="3">
                  <c:v>38.285714285714292</c:v>
                </c:pt>
                <c:pt idx="4">
                  <c:v>28.714285714285722</c:v>
                </c:pt>
                <c:pt idx="5">
                  <c:v>19.142857142857153</c:v>
                </c:pt>
                <c:pt idx="6">
                  <c:v>9.5714285714285818</c:v>
                </c:pt>
                <c:pt idx="7">
                  <c:v>1.0658141036401503E-14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27-Sep-18</c:v>
                </c:pt>
                <c:pt idx="2">
                  <c:v>28-Sep-18</c:v>
                </c:pt>
                <c:pt idx="3">
                  <c:v>29-Sep-18</c:v>
                </c:pt>
                <c:pt idx="4">
                  <c:v>30-Sep-18</c:v>
                </c:pt>
                <c:pt idx="5">
                  <c:v>1-Oct-18</c:v>
                </c:pt>
                <c:pt idx="6">
                  <c:v>2-Oct-18</c:v>
                </c:pt>
                <c:pt idx="7">
                  <c:v>3-Oct-18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67</c:v>
                </c:pt>
                <c:pt idx="1">
                  <c:v>57.428571428571431</c:v>
                </c:pt>
                <c:pt idx="2">
                  <c:v>47.857142857142861</c:v>
                </c:pt>
                <c:pt idx="3">
                  <c:v>38.285714285714292</c:v>
                </c:pt>
                <c:pt idx="4">
                  <c:v>28.714285714285722</c:v>
                </c:pt>
                <c:pt idx="5">
                  <c:v>19.142857142857153</c:v>
                </c:pt>
                <c:pt idx="6">
                  <c:v>9.5714285714285818</c:v>
                </c:pt>
                <c:pt idx="7">
                  <c:v>1.0658141036401503E-14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7-4EB6-844F-CE37DF23D213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27-Sep-18</c:v>
                </c:pt>
                <c:pt idx="2">
                  <c:v>28-Sep-18</c:v>
                </c:pt>
                <c:pt idx="3">
                  <c:v>29-Sep-18</c:v>
                </c:pt>
                <c:pt idx="4">
                  <c:v>30-Sep-18</c:v>
                </c:pt>
                <c:pt idx="5">
                  <c:v>1-Oct-18</c:v>
                </c:pt>
                <c:pt idx="6">
                  <c:v>2-Oct-18</c:v>
                </c:pt>
                <c:pt idx="7">
                  <c:v>3-Oct-18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67</c:v>
                </c:pt>
                <c:pt idx="1">
                  <c:v>41</c:v>
                </c:pt>
                <c:pt idx="2">
                  <c:v>30</c:v>
                </c:pt>
                <c:pt idx="3">
                  <c:v>19</c:v>
                </c:pt>
                <c:pt idx="4">
                  <c:v>13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37-4EB6-844F-CE37DF23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70808"/>
        <c:axId val="157314904"/>
      </c:barChart>
      <c:catAx>
        <c:axId val="46727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14904"/>
        <c:crosses val="autoZero"/>
        <c:auto val="1"/>
        <c:lblAlgn val="ctr"/>
        <c:lblOffset val="100"/>
        <c:noMultiLvlLbl val="0"/>
      </c:catAx>
      <c:valAx>
        <c:axId val="15731490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08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76200</xdr:rowOff>
    </xdr:from>
    <xdr:to>
      <xdr:col>10</xdr:col>
      <xdr:colOff>76200</xdr:colOff>
      <xdr:row>22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161925</xdr:colOff>
      <xdr:row>3</xdr:row>
      <xdr:rowOff>76200</xdr:rowOff>
    </xdr:from>
    <xdr:to>
      <xdr:col>19</xdr:col>
      <xdr:colOff>447675</xdr:colOff>
      <xdr:row>22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23</xdr:row>
      <xdr:rowOff>180975</xdr:rowOff>
    </xdr:from>
    <xdr:to>
      <xdr:col>10</xdr:col>
      <xdr:colOff>85725</xdr:colOff>
      <xdr:row>42</xdr:row>
      <xdr:rowOff>152400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23</xdr:row>
      <xdr:rowOff>180975</xdr:rowOff>
    </xdr:from>
    <xdr:to>
      <xdr:col>19</xdr:col>
      <xdr:colOff>457200</xdr:colOff>
      <xdr:row>42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123825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L3"/>
  <sheetViews>
    <sheetView tabSelected="1" workbookViewId="0">
      <selection activeCell="N2" sqref="N2"/>
    </sheetView>
  </sheetViews>
  <sheetFormatPr defaultRowHeight="15" x14ac:dyDescent="0.25"/>
  <cols>
    <col min="11" max="11" width="2.5703125" customWidth="1"/>
    <col min="12" max="12" width="20.85546875" bestFit="1" customWidth="1"/>
  </cols>
  <sheetData>
    <row r="1" spans="4:12" x14ac:dyDescent="0.25">
      <c r="D1" s="16" t="s">
        <v>23</v>
      </c>
      <c r="E1" s="14"/>
      <c r="F1" s="14"/>
      <c r="G1" s="14"/>
      <c r="H1" s="14"/>
      <c r="I1" s="14"/>
      <c r="J1" s="15"/>
      <c r="L1" s="9" t="s">
        <v>19</v>
      </c>
    </row>
    <row r="2" spans="4:12" x14ac:dyDescent="0.25">
      <c r="D2" s="14"/>
      <c r="E2" s="14"/>
      <c r="F2" s="14"/>
      <c r="G2" s="14"/>
      <c r="H2" s="14"/>
      <c r="I2" s="14"/>
      <c r="J2" s="15"/>
      <c r="L2" s="1" t="s">
        <v>21</v>
      </c>
    </row>
    <row r="3" spans="4:12" x14ac:dyDescent="0.25">
      <c r="L3" s="1" t="s">
        <v>22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203"/>
  <sheetViews>
    <sheetView topLeftCell="B1" workbookViewId="0">
      <pane ySplit="2" topLeftCell="A3" activePane="bottomLeft" state="frozen"/>
      <selection pane="bottomLeft" activeCell="C7" sqref="C7"/>
    </sheetView>
  </sheetViews>
  <sheetFormatPr defaultColWidth="0" defaultRowHeight="15" zeroHeight="1" x14ac:dyDescent="0.25"/>
  <cols>
    <col min="1" max="1" width="19.7109375" customWidth="1"/>
    <col min="2" max="2" width="13.85546875" customWidth="1"/>
    <col min="3" max="62" width="9.140625" customWidth="1"/>
    <col min="63" max="16384" width="9.140625" hidden="1"/>
  </cols>
  <sheetData>
    <row r="1" spans="1:62" ht="60" customHeight="1" x14ac:dyDescent="0.25">
      <c r="C1" s="11" t="s">
        <v>24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2"/>
      <c r="O1" s="13"/>
      <c r="P1" s="13"/>
      <c r="Q1" s="13"/>
      <c r="R1" s="13"/>
      <c r="S1" s="13"/>
      <c r="T1" s="10"/>
    </row>
    <row r="2" spans="1:62" s="1" customFormat="1" x14ac:dyDescent="0.25">
      <c r="A2" s="5" t="s">
        <v>20</v>
      </c>
      <c r="B2" s="5" t="str">
        <f>IF('Burndown Chart'!$L$2="","Planned Effort",'Burndown Chart'!$L$2)</f>
        <v>Esforço Planejado</v>
      </c>
      <c r="C2" s="5">
        <v>43370</v>
      </c>
      <c r="D2" s="5">
        <v>43371</v>
      </c>
      <c r="E2" s="5">
        <v>43372</v>
      </c>
      <c r="F2" s="5">
        <v>43373</v>
      </c>
      <c r="G2" s="5">
        <v>43374</v>
      </c>
      <c r="H2" s="5">
        <v>43375</v>
      </c>
      <c r="I2" s="5">
        <v>43376</v>
      </c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</row>
    <row r="3" spans="1:62" x14ac:dyDescent="0.25">
      <c r="A3" t="s">
        <v>2</v>
      </c>
      <c r="B3">
        <v>8</v>
      </c>
      <c r="C3" s="3">
        <v>5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x14ac:dyDescent="0.25">
      <c r="A4" t="s">
        <v>3</v>
      </c>
      <c r="B4">
        <v>15</v>
      </c>
      <c r="C4" s="3">
        <v>10</v>
      </c>
      <c r="D4" s="3">
        <v>7</v>
      </c>
      <c r="E4" s="3">
        <v>3</v>
      </c>
      <c r="F4" s="3">
        <v>3</v>
      </c>
      <c r="G4" s="3">
        <v>3</v>
      </c>
      <c r="H4" s="3">
        <v>2</v>
      </c>
      <c r="I4" s="3">
        <v>0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25">
      <c r="A5" t="s">
        <v>4</v>
      </c>
      <c r="B5">
        <v>21</v>
      </c>
      <c r="C5" s="3">
        <v>15</v>
      </c>
      <c r="D5" s="3">
        <v>15</v>
      </c>
      <c r="E5" s="3">
        <v>8</v>
      </c>
      <c r="F5" s="3">
        <v>5</v>
      </c>
      <c r="G5" s="3">
        <v>0</v>
      </c>
      <c r="H5" s="3">
        <v>0</v>
      </c>
      <c r="I5" s="3">
        <v>0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62" x14ac:dyDescent="0.25">
      <c r="A6" t="s">
        <v>5</v>
      </c>
      <c r="B6">
        <v>3</v>
      </c>
      <c r="C6" s="3">
        <v>3</v>
      </c>
      <c r="D6" s="3">
        <v>3</v>
      </c>
      <c r="E6" s="3">
        <v>3</v>
      </c>
      <c r="F6" s="3">
        <v>3</v>
      </c>
      <c r="G6" s="3">
        <v>3</v>
      </c>
      <c r="H6" s="3">
        <v>0</v>
      </c>
      <c r="I6" s="3">
        <v>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62" x14ac:dyDescent="0.25">
      <c r="A7" t="s">
        <v>6</v>
      </c>
      <c r="B7">
        <v>20</v>
      </c>
      <c r="C7" s="3">
        <v>8</v>
      </c>
      <c r="D7" s="3">
        <v>5</v>
      </c>
      <c r="E7" s="3">
        <v>5</v>
      </c>
      <c r="F7" s="3">
        <v>2</v>
      </c>
      <c r="G7" s="3">
        <v>0</v>
      </c>
      <c r="H7" s="3">
        <v>0</v>
      </c>
      <c r="I7" s="3">
        <v>0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62" x14ac:dyDescent="0.25">
      <c r="A8" t="s">
        <v>7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62" x14ac:dyDescent="0.25">
      <c r="A9" t="s">
        <v>8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62" x14ac:dyDescent="0.25">
      <c r="A10" t="s">
        <v>9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62" x14ac:dyDescent="0.25">
      <c r="A11" t="s">
        <v>10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62" x14ac:dyDescent="0.25">
      <c r="A12" t="s">
        <v>11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62" x14ac:dyDescent="0.25">
      <c r="A13" t="s">
        <v>12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62" x14ac:dyDescent="0.25">
      <c r="A14" t="s">
        <v>13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62" x14ac:dyDescent="0.25">
      <c r="A15" t="s">
        <v>14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62" x14ac:dyDescent="0.25">
      <c r="A16" t="s">
        <v>15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1:62" x14ac:dyDescent="0.25">
      <c r="A17" t="s">
        <v>16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1:62" x14ac:dyDescent="0.25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1:62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1:62" x14ac:dyDescent="0.2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1:62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1:62" x14ac:dyDescent="0.25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1:62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1:62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1:62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1:62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1:62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1:62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1:62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1:62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1:62" x14ac:dyDescent="0.2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1:62" x14ac:dyDescent="0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2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2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2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25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25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25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25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25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25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25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2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25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25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25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25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25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25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25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25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25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25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25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25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25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25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25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25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25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25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25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25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2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2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25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25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25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25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25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25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25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25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25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25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25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25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25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25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25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25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25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25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25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25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25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25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25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25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25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25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25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25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25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25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25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25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25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25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25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25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25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25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25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25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25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25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25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25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25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25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25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25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25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25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25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25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25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25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25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25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25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25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25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25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25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25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25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25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25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25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25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25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25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25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25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25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25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25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25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25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25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25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25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25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25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25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25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25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25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25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25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25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25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25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25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25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25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25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25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25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25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25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25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25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25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25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25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25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25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25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25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25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25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25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25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25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25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25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25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25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25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25"/>
  </sheetData>
  <mergeCells count="2">
    <mergeCell ref="C1:M1"/>
    <mergeCell ref="N1:T1"/>
  </mergeCells>
  <conditionalFormatting sqref="C2:BJ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BJ2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">
      <formula1>0</formula1>
    </dataValidation>
    <dataValidation type="custom" showInputMessage="1" showErrorMessage="1" errorTitle="Input Error" error="Read the Validations Rules to Input Right Data" sqref="C3:BJ202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123825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14"/>
  <sheetViews>
    <sheetView workbookViewId="0">
      <selection activeCell="A2" sqref="A2"/>
    </sheetView>
  </sheetViews>
  <sheetFormatPr defaultColWidth="0" defaultRowHeight="15" x14ac:dyDescent="0.25"/>
  <cols>
    <col min="1" max="1" width="16" style="1" bestFit="1" customWidth="1"/>
    <col min="2" max="2" width="9.42578125" style="2" customWidth="1"/>
    <col min="3" max="62" width="9.140625" customWidth="1"/>
    <col min="63" max="16384" width="9.140625" hidden="1"/>
  </cols>
  <sheetData>
    <row r="1" spans="1:62" s="1" customFormat="1" x14ac:dyDescent="0.25">
      <c r="A1" s="1" t="s">
        <v>0</v>
      </c>
      <c r="B1" s="1" t="s">
        <v>1</v>
      </c>
      <c r="C1" s="8">
        <f>IF(Input!C$2="","",Input!C$2)</f>
        <v>43370</v>
      </c>
      <c r="D1" s="8">
        <f>IF(Input!D$2="","",Input!D$2)</f>
        <v>43371</v>
      </c>
      <c r="E1" s="8">
        <f>IF(Input!E$2="","",Input!E$2)</f>
        <v>43372</v>
      </c>
      <c r="F1" s="8">
        <f>IF(Input!F$2="","",Input!F$2)</f>
        <v>43373</v>
      </c>
      <c r="G1" s="8">
        <f>IF(Input!G$2="","",Input!G$2)</f>
        <v>43374</v>
      </c>
      <c r="H1" s="8">
        <f>IF(Input!H$2="","",Input!H$2)</f>
        <v>43375</v>
      </c>
      <c r="I1" s="8">
        <f>IF(Input!I$2="","",Input!I$2)</f>
        <v>43376</v>
      </c>
      <c r="J1" s="8" t="str">
        <f>IF(Input!J$2="","",Input!J$2)</f>
        <v/>
      </c>
      <c r="K1" s="8" t="str">
        <f>IF(Input!K$2="","",Input!K$2)</f>
        <v/>
      </c>
      <c r="L1" s="8" t="str">
        <f>IF(Input!L$2="","",Input!L$2)</f>
        <v/>
      </c>
      <c r="M1" s="8" t="str">
        <f>IF(Input!M$2="","",Input!M$2)</f>
        <v/>
      </c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25">
      <c r="A2" s="6" t="str">
        <f>IF('Burndown Chart'!$L$2="","Planned Effort",'Burndown Chart'!$L$2)</f>
        <v>Esforço Planejado</v>
      </c>
      <c r="B2" s="7">
        <f>SUM(Input!$B$3:$B$202)</f>
        <v>67</v>
      </c>
      <c r="C2" s="4">
        <f t="shared" ref="C2:AH2" si="0">IF(C$1="","",B$2-$B$2/(SUMPRODUCT(--($C$1:$BJ$1&lt;&gt;""))))</f>
        <v>57.428571428571431</v>
      </c>
      <c r="D2" s="4">
        <f t="shared" si="0"/>
        <v>47.857142857142861</v>
      </c>
      <c r="E2" s="4">
        <f t="shared" si="0"/>
        <v>38.285714285714292</v>
      </c>
      <c r="F2" s="4">
        <f t="shared" si="0"/>
        <v>28.714285714285722</v>
      </c>
      <c r="G2" s="4">
        <f t="shared" si="0"/>
        <v>19.142857142857153</v>
      </c>
      <c r="H2" s="4">
        <f t="shared" si="0"/>
        <v>9.5714285714285818</v>
      </c>
      <c r="I2" s="4">
        <f t="shared" si="0"/>
        <v>1.0658141036401503E-14</v>
      </c>
      <c r="J2" s="4" t="str">
        <f t="shared" si="0"/>
        <v/>
      </c>
      <c r="K2" s="4" t="str">
        <f t="shared" si="0"/>
        <v/>
      </c>
      <c r="L2" s="4" t="str">
        <f t="shared" si="0"/>
        <v/>
      </c>
      <c r="M2" s="4" t="str">
        <f t="shared" si="0"/>
        <v/>
      </c>
      <c r="N2" s="4" t="str">
        <f t="shared" si="0"/>
        <v/>
      </c>
      <c r="O2" s="4" t="str">
        <f t="shared" si="0"/>
        <v/>
      </c>
      <c r="P2" s="4" t="str">
        <f t="shared" si="0"/>
        <v/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25">
      <c r="A3" s="6" t="str">
        <f>IF('Burndown Chart'!$L$3="","Hours Remaining",'Burndown Chart'!$L$3)</f>
        <v>Horas Restante</v>
      </c>
      <c r="B3" s="7">
        <f>SUM(Input!$B$3:$B$202)</f>
        <v>67</v>
      </c>
      <c r="C3" s="4">
        <f>IF(C$1="","",SUM(Input!C$3:C$202))</f>
        <v>41</v>
      </c>
      <c r="D3" s="4">
        <f>IF(D$1="","",SUM(Input!D$3:D$202))</f>
        <v>30</v>
      </c>
      <c r="E3" s="4">
        <f>IF(E$1="","",SUM(Input!E$3:E$202))</f>
        <v>19</v>
      </c>
      <c r="F3" s="4">
        <f>IF(F$1="","",SUM(Input!F$3:F$202))</f>
        <v>13</v>
      </c>
      <c r="G3" s="4">
        <f>IF(G$1="","",SUM(Input!G$3:G$202))</f>
        <v>6</v>
      </c>
      <c r="H3" s="4">
        <f>IF(H$1="","",SUM(Input!H$3:H$202))</f>
        <v>2</v>
      </c>
      <c r="I3" s="4">
        <f>IF(I$1="","",SUM(Input!I$3:I$202))</f>
        <v>0</v>
      </c>
      <c r="J3" s="4" t="str">
        <f>IF(J$1="","",SUM(Input!J$3:J$202))</f>
        <v/>
      </c>
      <c r="K3" s="4" t="str">
        <f>IF(K$1="","",SUM(Input!K$3:K$202))</f>
        <v/>
      </c>
      <c r="L3" s="4" t="str">
        <f>IF(L$1="","",SUM(Input!L$3:L$202))</f>
        <v/>
      </c>
      <c r="M3" s="4" t="str">
        <f>IF(M$1="","",SUM(Input!M$3:M$202))</f>
        <v/>
      </c>
      <c r="N3" s="4" t="str">
        <f>IF(N$1="","",SUM(Input!N$3:N$202))</f>
        <v/>
      </c>
      <c r="O3" s="4" t="str">
        <f>IF(O$1="","",SUM(Input!O$3:O$202))</f>
        <v/>
      </c>
      <c r="P3" s="4" t="str">
        <f>IF(P$1="","",SUM(Input!P$3:P$202))</f>
        <v/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25">
      <c r="A4" s="1" t="s">
        <v>17</v>
      </c>
      <c r="B4" s="2">
        <v>0</v>
      </c>
      <c r="C4">
        <f ca="1">IF(C$1="","",CountCTs(Input!C$3:C$202))</f>
        <v>0</v>
      </c>
      <c r="D4">
        <f ca="1">IF(D$1="","",CountCTs(Input!D$3:D$202))</f>
        <v>1</v>
      </c>
      <c r="E4">
        <f ca="1">IF(E$1="","",CountCTs(Input!E$3:E$202))</f>
        <v>0</v>
      </c>
      <c r="F4">
        <f ca="1">IF(F$1="","",CountCTs(Input!F$3:F$202))</f>
        <v>0</v>
      </c>
      <c r="G4">
        <f ca="1">IF(G$1="","",CountCTs(Input!G$3:G$202))</f>
        <v>2</v>
      </c>
      <c r="H4">
        <f ca="1">IF(H$1="","",CountCTs(Input!H$3:H$202))</f>
        <v>1</v>
      </c>
      <c r="I4">
        <f ca="1">IF(I$1="","",CountCTs(Input!I$3:I$202))</f>
        <v>1</v>
      </c>
      <c r="J4" t="str">
        <f>IF(J$1="","",CountCTs(Input!J$3:J$202))</f>
        <v/>
      </c>
      <c r="K4" t="str">
        <f>IF(K$1="","",CountCTs(Input!K$3:K$202))</f>
        <v/>
      </c>
      <c r="L4" t="str">
        <f>IF(L$1="","",CountCTs(Input!L$3:L$202))</f>
        <v/>
      </c>
      <c r="M4" t="str">
        <f>IF(M$1="","",CountCTs(Input!M$3:M$202))</f>
        <v/>
      </c>
      <c r="N4" t="str">
        <f>IF(N$1="","",CountCTs(Input!N$3:N$202))</f>
        <v/>
      </c>
      <c r="O4" t="str">
        <f>IF(O$1="","",CountCTs(Input!O$3:O$202))</f>
        <v/>
      </c>
      <c r="P4" t="str">
        <f>IF(P$1="","",CountCTs(Input!P$3:P$202))</f>
        <v/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25">
      <c r="A5" s="1" t="s">
        <v>18</v>
      </c>
      <c r="B5" s="2">
        <f>SUMPRODUCT(--(Input!$A$3:$A$202&lt;&gt;""))</f>
        <v>15</v>
      </c>
      <c r="C5">
        <f ca="1">IF(C$1="","",B$5-C4)</f>
        <v>15</v>
      </c>
      <c r="D5">
        <f t="shared" ref="D5:BJ5" ca="1" si="2">IF(D$1="","",C$5-D4)</f>
        <v>14</v>
      </c>
      <c r="E5">
        <f t="shared" ca="1" si="2"/>
        <v>14</v>
      </c>
      <c r="F5">
        <f t="shared" ca="1" si="2"/>
        <v>14</v>
      </c>
      <c r="G5">
        <f t="shared" ca="1" si="2"/>
        <v>12</v>
      </c>
      <c r="H5">
        <f t="shared" ca="1" si="2"/>
        <v>11</v>
      </c>
      <c r="I5">
        <f t="shared" ca="1" si="2"/>
        <v>10</v>
      </c>
      <c r="J5" t="str">
        <f t="shared" si="2"/>
        <v/>
      </c>
      <c r="K5" t="str">
        <f t="shared" si="2"/>
        <v/>
      </c>
      <c r="L5" t="str">
        <f t="shared" si="2"/>
        <v/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25">
      <c r="A7"/>
    </row>
    <row r="8" spans="1:62" x14ac:dyDescent="0.25">
      <c r="A8"/>
    </row>
    <row r="9" spans="1:62" x14ac:dyDescent="0.25">
      <c r="A9"/>
    </row>
    <row r="10" spans="1:62" x14ac:dyDescent="0.25">
      <c r="A10"/>
    </row>
    <row r="11" spans="1:62" x14ac:dyDescent="0.25">
      <c r="A11"/>
    </row>
    <row r="12" spans="1:62" x14ac:dyDescent="0.25">
      <c r="A12"/>
    </row>
    <row r="13" spans="1:62" x14ac:dyDescent="0.25">
      <c r="A13"/>
    </row>
    <row r="14" spans="1:62" x14ac:dyDescent="0.25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Nickolas</cp:lastModifiedBy>
  <cp:lastPrinted>2016-02-23T08:42:38Z</cp:lastPrinted>
  <dcterms:created xsi:type="dcterms:W3CDTF">2016-02-23T08:35:30Z</dcterms:created>
  <dcterms:modified xsi:type="dcterms:W3CDTF">2018-12-03T16:12:22Z</dcterms:modified>
</cp:coreProperties>
</file>