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UFRJ\FES\"/>
    </mc:Choice>
  </mc:AlternateContent>
  <workbookProtection workbookPassword="B126" lockStructure="1"/>
  <bookViews>
    <workbookView xWindow="0" yWindow="0" windowWidth="20490" windowHeight="7425" activeTab="1"/>
  </bookViews>
  <sheets>
    <sheet name="Burndown Chart" sheetId="1" r:id="rId1"/>
    <sheet name="Input" sheetId="3" r:id="rId2"/>
    <sheet name="Final Data" sheetId="4" state="veryHidden" r:id="rId3"/>
  </sheets>
  <functionGroups builtInGroupCount="18"/>
  <definedNames>
    <definedName name="Date">OFFSET('Final Data'!$A$1,0,1,1,SUMPRODUCT(--('Final Data'!$B$1:$BJ$1&lt;&gt;"")))</definedName>
    <definedName name="HoursR">OFFSET('Final Data'!$A$3,0,1,1,SUMPRODUCT(--('Final Data'!$B$3:$BJ$3&lt;&gt;"")))</definedName>
    <definedName name="PlannedE">OFFSET('Final Data'!$A$2,0,1,1,SUMPRODUCT(--('Final Data'!$B$2:$BJ$2&lt;&gt;"")))</definedName>
  </definedNames>
  <calcPr calcId="162913" iterateDelta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" l="1"/>
  <c r="A3" i="4"/>
  <c r="B5" i="4" l="1"/>
  <c r="B2" i="3" l="1"/>
  <c r="B2" i="4" l="1"/>
  <c r="B3" i="4"/>
  <c r="H1" i="4" l="1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G1" i="4"/>
  <c r="F1" i="4"/>
  <c r="E1" i="4"/>
  <c r="D1" i="4"/>
  <c r="C1" i="4"/>
  <c r="S4" i="4"/>
  <c r="D3" i="4" l="1"/>
  <c r="Q3" i="4"/>
  <c r="W5" i="4"/>
  <c r="W4" i="4"/>
  <c r="AI5" i="4"/>
  <c r="AI4" i="4"/>
  <c r="AU5" i="4"/>
  <c r="AU4" i="4"/>
  <c r="BG5" i="4"/>
  <c r="BG4" i="4"/>
  <c r="L3" i="4"/>
  <c r="X4" i="4"/>
  <c r="X5" i="4"/>
  <c r="AJ4" i="4"/>
  <c r="AJ5" i="4"/>
  <c r="AV4" i="4"/>
  <c r="AV5" i="4"/>
  <c r="BH5" i="4"/>
  <c r="BH4" i="4"/>
  <c r="M3" i="4"/>
  <c r="G3" i="4"/>
  <c r="T5" i="4"/>
  <c r="T4" i="4"/>
  <c r="I3" i="4"/>
  <c r="O3" i="4"/>
  <c r="U4" i="4"/>
  <c r="U5" i="4"/>
  <c r="AA4" i="4"/>
  <c r="AA5" i="4"/>
  <c r="AG4" i="4"/>
  <c r="AG5" i="4"/>
  <c r="AM4" i="4"/>
  <c r="AM5" i="4"/>
  <c r="AS4" i="4"/>
  <c r="AS5" i="4"/>
  <c r="AY4" i="4"/>
  <c r="AY5" i="4"/>
  <c r="BE4" i="4"/>
  <c r="BE5" i="4"/>
  <c r="H3" i="4"/>
  <c r="C3" i="4"/>
  <c r="J3" i="4"/>
  <c r="P3" i="4"/>
  <c r="V5" i="4"/>
  <c r="V4" i="4"/>
  <c r="AB5" i="4"/>
  <c r="AB4" i="4"/>
  <c r="AH5" i="4"/>
  <c r="AH4" i="4"/>
  <c r="AN5" i="4"/>
  <c r="AN4" i="4"/>
  <c r="AT5" i="4"/>
  <c r="AT4" i="4"/>
  <c r="AZ5" i="4"/>
  <c r="AZ4" i="4"/>
  <c r="BF5" i="4"/>
  <c r="BF4" i="4"/>
  <c r="Y5" i="4"/>
  <c r="Y4" i="4"/>
  <c r="AE5" i="4"/>
  <c r="AE4" i="4"/>
  <c r="AK5" i="4"/>
  <c r="AK4" i="4"/>
  <c r="AQ5" i="4"/>
  <c r="AQ4" i="4"/>
  <c r="AW5" i="4"/>
  <c r="AW4" i="4"/>
  <c r="BC5" i="4"/>
  <c r="BC4" i="4"/>
  <c r="BI5" i="4"/>
  <c r="BI4" i="4"/>
  <c r="K3" i="4"/>
  <c r="AC5" i="4"/>
  <c r="AC4" i="4"/>
  <c r="AO5" i="4"/>
  <c r="AO4" i="4"/>
  <c r="BA5" i="4"/>
  <c r="BA4" i="4"/>
  <c r="E3" i="4"/>
  <c r="R3" i="4"/>
  <c r="AD5" i="4"/>
  <c r="AD4" i="4"/>
  <c r="AP5" i="4"/>
  <c r="AP4" i="4"/>
  <c r="BB4" i="4"/>
  <c r="BB5" i="4"/>
  <c r="F3" i="4"/>
  <c r="N3" i="4"/>
  <c r="Z5" i="4"/>
  <c r="Z4" i="4"/>
  <c r="AF5" i="4"/>
  <c r="AF4" i="4"/>
  <c r="AL5" i="4"/>
  <c r="AL4" i="4"/>
  <c r="AR5" i="4"/>
  <c r="AR4" i="4"/>
  <c r="AX5" i="4"/>
  <c r="AX4" i="4"/>
  <c r="BD5" i="4"/>
  <c r="BD4" i="4"/>
  <c r="BJ5" i="4"/>
  <c r="BJ4" i="4"/>
  <c r="Y3" i="4"/>
  <c r="AG2" i="4"/>
  <c r="AG3" i="4"/>
  <c r="AO2" i="4"/>
  <c r="AO3" i="4"/>
  <c r="AW2" i="4"/>
  <c r="AW3" i="4"/>
  <c r="BE2" i="4"/>
  <c r="BE3" i="4"/>
  <c r="V3" i="4"/>
  <c r="AD3" i="4"/>
  <c r="AL3" i="4"/>
  <c r="AL2" i="4"/>
  <c r="AP3" i="4"/>
  <c r="AP2" i="4"/>
  <c r="AX3" i="4"/>
  <c r="AX2" i="4"/>
  <c r="BF3" i="4"/>
  <c r="BF2" i="4"/>
  <c r="BJ3" i="4"/>
  <c r="BJ2" i="4"/>
  <c r="W3" i="4"/>
  <c r="AA3" i="4"/>
  <c r="AE3" i="4"/>
  <c r="AI3" i="4"/>
  <c r="AI2" i="4"/>
  <c r="AM3" i="4"/>
  <c r="AM2" i="4"/>
  <c r="AQ3" i="4"/>
  <c r="AQ2" i="4"/>
  <c r="AU3" i="4"/>
  <c r="AU2" i="4"/>
  <c r="AY3" i="4"/>
  <c r="AY2" i="4"/>
  <c r="BC3" i="4"/>
  <c r="BC2" i="4"/>
  <c r="BG3" i="4"/>
  <c r="BG2" i="4"/>
  <c r="U3" i="4"/>
  <c r="AC3" i="4"/>
  <c r="AK2" i="4"/>
  <c r="AK3" i="4"/>
  <c r="AS2" i="4"/>
  <c r="AS3" i="4"/>
  <c r="BA2" i="4"/>
  <c r="BA3" i="4"/>
  <c r="BI2" i="4"/>
  <c r="BI3" i="4"/>
  <c r="Z3" i="4"/>
  <c r="AH3" i="4"/>
  <c r="AH2" i="4"/>
  <c r="AT3" i="4"/>
  <c r="AT2" i="4"/>
  <c r="BB3" i="4"/>
  <c r="BB2" i="4"/>
  <c r="T3" i="4"/>
  <c r="X3" i="4"/>
  <c r="AB3" i="4"/>
  <c r="AF2" i="4"/>
  <c r="AF3" i="4"/>
  <c r="AJ2" i="4"/>
  <c r="AJ3" i="4"/>
  <c r="AN2" i="4"/>
  <c r="AN3" i="4"/>
  <c r="AR2" i="4"/>
  <c r="AR3" i="4"/>
  <c r="AV2" i="4"/>
  <c r="AV3" i="4"/>
  <c r="AZ2" i="4"/>
  <c r="AZ3" i="4"/>
  <c r="BD2" i="4"/>
  <c r="BD3" i="4"/>
  <c r="BH2" i="4"/>
  <c r="BH3" i="4"/>
  <c r="C2" i="4"/>
  <c r="D2" i="4" s="1"/>
  <c r="E2" i="4" s="1"/>
  <c r="F2" i="4" s="1"/>
  <c r="G2" i="4" s="1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S3" i="4"/>
  <c r="P4" i="4"/>
  <c r="K4" i="4"/>
  <c r="L4" i="4"/>
  <c r="O4" i="4"/>
  <c r="N4" i="4"/>
  <c r="Q4" i="4"/>
  <c r="R4" i="4"/>
  <c r="M4" i="4"/>
  <c r="J4" i="4"/>
  <c r="F4" i="4"/>
  <c r="C4" i="4"/>
  <c r="I4" i="4"/>
  <c r="E4" i="4"/>
  <c r="H4" i="4"/>
  <c r="D4" i="4"/>
  <c r="G4" i="4"/>
  <c r="C5" i="4" l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</calcChain>
</file>

<file path=xl/sharedStrings.xml><?xml version="1.0" encoding="utf-8"?>
<sst xmlns="http://schemas.openxmlformats.org/spreadsheetml/2006/main" count="25" uniqueCount="25">
  <si>
    <t>Date</t>
  </si>
  <si>
    <t>Day 0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</si>
  <si>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</si>
  <si>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</si>
  <si>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</si>
  <si>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</si>
  <si>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</si>
  <si>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</si>
  <si>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</si>
  <si>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</si>
  <si>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</si>
  <si>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</si>
  <si>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</si>
  <si>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</si>
  <si>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</si>
  <si>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</si>
  <si>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</si>
  <si>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Completed Tasks</t>
  </si>
  <si>
    <t>Remaining Tasks</t>
  </si>
  <si>
    <t>Customize the Legend</t>
  </si>
  <si>
    <t>Task / Story / Sprints</t>
  </si>
  <si>
    <t>Esforço Planejado</t>
  </si>
  <si>
    <t>Horas Restante</t>
  </si>
  <si>
    <t>Gráficos</t>
  </si>
  <si>
    <t>Burndown da quinta Sprint, 08/10 a 15/10. Cada linha corresponde a um item (uma história) da Sprint, a última linha possui o total de horas para revisão e modificações. Esforço Planejado tem o total (em horas) de esforço planejado para cada item da Sprint. Nas colunos subsequentes, o total em horas desenvolvido para cada item em determinado dia.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</si>
</sst>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d\-mmm\-yy;@"/>
    <numFmt numFmtId="165" formatCode="[$-409]d\-mmm\-yy;@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11"/>
      <color rgb="FF000000"/>
      <name val="Calibri"/>
      <family val="2"/>
    </font>
    <font>
      <sz val="20"/>
      <color rgb="FF000000"/>
      <name val="Calibri"/>
      <family val="2"/>
    </font>
    <font>
      <sz val="28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0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164" fontId="2" fillId="0" borderId="0" xfId="0" applyNumberFormat="1" applyFont="1"/>
    <xf numFmtId="1" fontId="2" fillId="0" borderId="0" xfId="0" applyNumberFormat="1" applyFont="1"/>
    <xf numFmtId="1" fontId="0" fillId="0" borderId="0" xfId="0" applyNumberFormat="1" applyFont="1"/>
    <xf numFmtId="165" fontId="2" fillId="0" borderId="0" xfId="0" applyNumberFormat="1" applyFont="1"/>
    <xf numFmtId="0" fontId="1" fillId="4" borderId="0" xfId="0" applyFont="1" applyFill="1"/>
    <xf numFmtId="0" fontId="0" fillId="0" borderId="0" xfId="0" applyAlignment="1"/>
    <xf numFmtId="0" fontId="2" fillId="2" borderId="0" xfId="0" applyNumberFormat="1" applyFont="1" applyFill="1" applyAlignment="1">
      <alignment wrapText="1"/>
    </xf>
    <xf numFmtId="0" fontId="2" fillId="3" borderId="0" xfId="0" applyFont="1" applyFill="1" applyAlignment="1">
      <alignment wrapText="1"/>
    </xf>
    <xf numFmtId="0" fontId="2" fillId="0" borderId="0" xfId="0" applyFont="1" applyAlignment="1"/>
    <xf numFmtId="0" fontId="3" fillId="2" borderId="0" xfId="0" applyFont="1" applyFill="1" applyAlignment="1" applyProtection="1"/>
    <xf numFmtId="0" fontId="0" fillId="2" borderId="0" xfId="0" applyFill="1" applyAlignment="1"/>
    <xf numFmtId="0" fontId="6" fillId="2" borderId="0" xfId="0" applyFont="1" applyFill="1" applyAlignment="1" applyProtection="1">
      <alignment horizontal="center"/>
    </xf>
  </cellXfs>
  <cellStyles count="1">
    <cellStyle name="Normal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9"/>
                <c:pt idx="0">
                  <c:v>Day 0</c:v>
                </c:pt>
                <c:pt idx="1">
                  <c:v>8-Oct-18</c:v>
                </c:pt>
                <c:pt idx="2">
                  <c:v>9-Oct-18</c:v>
                </c:pt>
                <c:pt idx="3">
                  <c:v>10-Oct-18</c:v>
                </c:pt>
                <c:pt idx="4">
                  <c:v>11-Oct-18</c:v>
                </c:pt>
                <c:pt idx="5">
                  <c:v>12-Oct-18</c:v>
                </c:pt>
                <c:pt idx="6">
                  <c:v>13-Oct-18</c:v>
                </c:pt>
                <c:pt idx="7">
                  <c:v>14-Oct-18</c:v>
                </c:pt>
                <c:pt idx="8">
                  <c:v>15-Oct-18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9"/>
                <c:pt idx="0">
                  <c:v>92</c:v>
                </c:pt>
                <c:pt idx="1">
                  <c:v>80.5</c:v>
                </c:pt>
                <c:pt idx="2">
                  <c:v>69</c:v>
                </c:pt>
                <c:pt idx="3">
                  <c:v>57.5</c:v>
                </c:pt>
                <c:pt idx="4">
                  <c:v>46</c:v>
                </c:pt>
                <c:pt idx="5">
                  <c:v>34.5</c:v>
                </c:pt>
                <c:pt idx="6">
                  <c:v>23</c:v>
                </c:pt>
                <c:pt idx="7">
                  <c:v>11.5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F-48AA-B9BA-3F197FA83E0E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9"/>
                <c:pt idx="0">
                  <c:v>Day 0</c:v>
                </c:pt>
                <c:pt idx="1">
                  <c:v>8-Oct-18</c:v>
                </c:pt>
                <c:pt idx="2">
                  <c:v>9-Oct-18</c:v>
                </c:pt>
                <c:pt idx="3">
                  <c:v>10-Oct-18</c:v>
                </c:pt>
                <c:pt idx="4">
                  <c:v>11-Oct-18</c:v>
                </c:pt>
                <c:pt idx="5">
                  <c:v>12-Oct-18</c:v>
                </c:pt>
                <c:pt idx="6">
                  <c:v>13-Oct-18</c:v>
                </c:pt>
                <c:pt idx="7">
                  <c:v>14-Oct-18</c:v>
                </c:pt>
                <c:pt idx="8">
                  <c:v>15-Oct-18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9"/>
                <c:pt idx="0">
                  <c:v>92</c:v>
                </c:pt>
                <c:pt idx="1">
                  <c:v>82</c:v>
                </c:pt>
                <c:pt idx="2">
                  <c:v>72</c:v>
                </c:pt>
                <c:pt idx="3">
                  <c:v>61</c:v>
                </c:pt>
                <c:pt idx="4">
                  <c:v>56</c:v>
                </c:pt>
                <c:pt idx="5">
                  <c:v>56</c:v>
                </c:pt>
                <c:pt idx="6">
                  <c:v>56</c:v>
                </c:pt>
                <c:pt idx="7">
                  <c:v>47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7F-48AA-B9BA-3F197FA83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69106496"/>
        <c:axId val="469725096"/>
      </c:lineChart>
      <c:catAx>
        <c:axId val="469106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5096"/>
        <c:crosses val="autoZero"/>
        <c:auto val="1"/>
        <c:lblAlgn val="ctr"/>
        <c:lblOffset val="100"/>
        <c:noMultiLvlLbl val="0"/>
      </c:catAx>
      <c:valAx>
        <c:axId val="469725096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106496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solidFill>
              <a:srgbClr val="FFC0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9"/>
                <c:pt idx="0">
                  <c:v>Day 0</c:v>
                </c:pt>
                <c:pt idx="1">
                  <c:v>8-Oct-18</c:v>
                </c:pt>
                <c:pt idx="2">
                  <c:v>9-Oct-18</c:v>
                </c:pt>
                <c:pt idx="3">
                  <c:v>10-Oct-18</c:v>
                </c:pt>
                <c:pt idx="4">
                  <c:v>11-Oct-18</c:v>
                </c:pt>
                <c:pt idx="5">
                  <c:v>12-Oct-18</c:v>
                </c:pt>
                <c:pt idx="6">
                  <c:v>13-Oct-18</c:v>
                </c:pt>
                <c:pt idx="7">
                  <c:v>14-Oct-18</c:v>
                </c:pt>
                <c:pt idx="8">
                  <c:v>15-Oct-18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9"/>
                <c:pt idx="0">
                  <c:v>92</c:v>
                </c:pt>
                <c:pt idx="1">
                  <c:v>82</c:v>
                </c:pt>
                <c:pt idx="2">
                  <c:v>72</c:v>
                </c:pt>
                <c:pt idx="3">
                  <c:v>61</c:v>
                </c:pt>
                <c:pt idx="4">
                  <c:v>56</c:v>
                </c:pt>
                <c:pt idx="5">
                  <c:v>56</c:v>
                </c:pt>
                <c:pt idx="6">
                  <c:v>56</c:v>
                </c:pt>
                <c:pt idx="7">
                  <c:v>47</c:v>
                </c:pt>
                <c:pt idx="8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E3-43AB-B7D4-9078726B7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25880"/>
        <c:axId val="469724312"/>
      </c:bar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9"/>
                <c:pt idx="0">
                  <c:v>Day 0</c:v>
                </c:pt>
                <c:pt idx="1">
                  <c:v>8-Oct-18</c:v>
                </c:pt>
                <c:pt idx="2">
                  <c:v>9-Oct-18</c:v>
                </c:pt>
                <c:pt idx="3">
                  <c:v>10-Oct-18</c:v>
                </c:pt>
                <c:pt idx="4">
                  <c:v>11-Oct-18</c:v>
                </c:pt>
                <c:pt idx="5">
                  <c:v>12-Oct-18</c:v>
                </c:pt>
                <c:pt idx="6">
                  <c:v>13-Oct-18</c:v>
                </c:pt>
                <c:pt idx="7">
                  <c:v>14-Oct-18</c:v>
                </c:pt>
                <c:pt idx="8">
                  <c:v>15-Oct-18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9"/>
                <c:pt idx="0">
                  <c:v>92</c:v>
                </c:pt>
                <c:pt idx="1">
                  <c:v>80.5</c:v>
                </c:pt>
                <c:pt idx="2">
                  <c:v>69</c:v>
                </c:pt>
                <c:pt idx="3">
                  <c:v>57.5</c:v>
                </c:pt>
                <c:pt idx="4">
                  <c:v>46</c:v>
                </c:pt>
                <c:pt idx="5">
                  <c:v>34.5</c:v>
                </c:pt>
                <c:pt idx="6">
                  <c:v>23</c:v>
                </c:pt>
                <c:pt idx="7">
                  <c:v>11.5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E3-43AB-B7D4-9078726B7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469725880"/>
        <c:axId val="469724312"/>
      </c:lineChart>
      <c:catAx>
        <c:axId val="469725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4312"/>
        <c:crosses val="autoZero"/>
        <c:auto val="1"/>
        <c:lblAlgn val="ctr"/>
        <c:lblOffset val="100"/>
        <c:noMultiLvlLbl val="0"/>
      </c:catAx>
      <c:valAx>
        <c:axId val="46972431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972588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Controle</a:t>
            </a:r>
            <a:r>
              <a:rPr lang="en-US" b="1" baseline="0"/>
              <a:t> de Espaços </a:t>
            </a:r>
            <a:r>
              <a:rPr lang="en-US" b="1"/>
              <a:t>- NCE</a:t>
            </a:r>
          </a:p>
          <a:p>
            <a:pPr>
              <a:defRPr/>
            </a:pPr>
            <a:r>
              <a:rPr lang="en-US" b="1"/>
              <a:t>Sprint - 1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solidFill>
              <a:srgbClr val="FFFF00"/>
            </a:soli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9"/>
                <c:pt idx="0">
                  <c:v>Day 0</c:v>
                </c:pt>
                <c:pt idx="1">
                  <c:v>8-Oct-18</c:v>
                </c:pt>
                <c:pt idx="2">
                  <c:v>9-Oct-18</c:v>
                </c:pt>
                <c:pt idx="3">
                  <c:v>10-Oct-18</c:v>
                </c:pt>
                <c:pt idx="4">
                  <c:v>11-Oct-18</c:v>
                </c:pt>
                <c:pt idx="5">
                  <c:v>12-Oct-18</c:v>
                </c:pt>
                <c:pt idx="6">
                  <c:v>13-Oct-18</c:v>
                </c:pt>
                <c:pt idx="7">
                  <c:v>14-Oct-18</c:v>
                </c:pt>
                <c:pt idx="8">
                  <c:v>15-Oct-18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9"/>
                <c:pt idx="0">
                  <c:v>92</c:v>
                </c:pt>
                <c:pt idx="1">
                  <c:v>82</c:v>
                </c:pt>
                <c:pt idx="2">
                  <c:v>72</c:v>
                </c:pt>
                <c:pt idx="3">
                  <c:v>61</c:v>
                </c:pt>
                <c:pt idx="4">
                  <c:v>56</c:v>
                </c:pt>
                <c:pt idx="5">
                  <c:v>56</c:v>
                </c:pt>
                <c:pt idx="6">
                  <c:v>56</c:v>
                </c:pt>
                <c:pt idx="7">
                  <c:v>47</c:v>
                </c:pt>
                <c:pt idx="8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3-4180-B208-F4FA92B0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68456"/>
        <c:axId val="467271592"/>
      </c:areaChart>
      <c:lineChart>
        <c:grouping val="standar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9"/>
                <c:pt idx="0">
                  <c:v>Day 0</c:v>
                </c:pt>
                <c:pt idx="1">
                  <c:v>8-Oct-18</c:v>
                </c:pt>
                <c:pt idx="2">
                  <c:v>9-Oct-18</c:v>
                </c:pt>
                <c:pt idx="3">
                  <c:v>10-Oct-18</c:v>
                </c:pt>
                <c:pt idx="4">
                  <c:v>11-Oct-18</c:v>
                </c:pt>
                <c:pt idx="5">
                  <c:v>12-Oct-18</c:v>
                </c:pt>
                <c:pt idx="6">
                  <c:v>13-Oct-18</c:v>
                </c:pt>
                <c:pt idx="7">
                  <c:v>14-Oct-18</c:v>
                </c:pt>
                <c:pt idx="8">
                  <c:v>15-Oct-18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9"/>
                <c:pt idx="0">
                  <c:v>92</c:v>
                </c:pt>
                <c:pt idx="1">
                  <c:v>80.5</c:v>
                </c:pt>
                <c:pt idx="2">
                  <c:v>69</c:v>
                </c:pt>
                <c:pt idx="3">
                  <c:v>57.5</c:v>
                </c:pt>
                <c:pt idx="4">
                  <c:v>46</c:v>
                </c:pt>
                <c:pt idx="5">
                  <c:v>34.5</c:v>
                </c:pt>
                <c:pt idx="6">
                  <c:v>23</c:v>
                </c:pt>
                <c:pt idx="7">
                  <c:v>11.5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B3-4180-B208-F4FA92B060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268456"/>
        <c:axId val="467271592"/>
      </c:lineChart>
      <c:catAx>
        <c:axId val="46726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71592"/>
        <c:crosses val="autoZero"/>
        <c:auto val="1"/>
        <c:lblAlgn val="ctr"/>
        <c:lblOffset val="100"/>
        <c:noMultiLvlLbl val="0"/>
      </c:catAx>
      <c:valAx>
        <c:axId val="46727159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684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Controle de Espaços - NCE</a:t>
            </a:r>
            <a:endParaRPr lang="pt-BR">
              <a:effectLst/>
            </a:endParaRPr>
          </a:p>
          <a:p>
            <a:pPr>
              <a:defRPr/>
            </a:pPr>
            <a:r>
              <a:rPr lang="en-US" sz="1800" b="1" i="0" baseline="0">
                <a:effectLst/>
              </a:rPr>
              <a:t>Sprint - 1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'Final Data'!$A$2</c:f>
              <c:strCache>
                <c:ptCount val="1"/>
                <c:pt idx="0">
                  <c:v>Esforço Planejado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9"/>
                <c:pt idx="0">
                  <c:v>Day 0</c:v>
                </c:pt>
                <c:pt idx="1">
                  <c:v>8-Oct-18</c:v>
                </c:pt>
                <c:pt idx="2">
                  <c:v>9-Oct-18</c:v>
                </c:pt>
                <c:pt idx="3">
                  <c:v>10-Oct-18</c:v>
                </c:pt>
                <c:pt idx="4">
                  <c:v>11-Oct-18</c:v>
                </c:pt>
                <c:pt idx="5">
                  <c:v>12-Oct-18</c:v>
                </c:pt>
                <c:pt idx="6">
                  <c:v>13-Oct-18</c:v>
                </c:pt>
                <c:pt idx="7">
                  <c:v>14-Oct-18</c:v>
                </c:pt>
                <c:pt idx="8">
                  <c:v>15-Oct-18</c:v>
                </c:pt>
              </c:strCache>
            </c:strRef>
          </c:cat>
          <c:val>
            <c:numRef>
              <c:f>[0]!PlannedE</c:f>
              <c:numCache>
                <c:formatCode>0</c:formatCode>
                <c:ptCount val="9"/>
                <c:pt idx="0">
                  <c:v>92</c:v>
                </c:pt>
                <c:pt idx="1">
                  <c:v>80.5</c:v>
                </c:pt>
                <c:pt idx="2">
                  <c:v>69</c:v>
                </c:pt>
                <c:pt idx="3">
                  <c:v>57.5</c:v>
                </c:pt>
                <c:pt idx="4">
                  <c:v>46</c:v>
                </c:pt>
                <c:pt idx="5">
                  <c:v>34.5</c:v>
                </c:pt>
                <c:pt idx="6">
                  <c:v>23</c:v>
                </c:pt>
                <c:pt idx="7">
                  <c:v>11.5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7-4EB6-844F-CE37DF23D213}"/>
            </c:ext>
          </c:extLst>
        </c:ser>
        <c:ser>
          <c:idx val="1"/>
          <c:order val="1"/>
          <c:tx>
            <c:strRef>
              <c:f>'Final Data'!$A$3</c:f>
              <c:strCache>
                <c:ptCount val="1"/>
                <c:pt idx="0">
                  <c:v>Horas Restante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[0]!Date</c:f>
              <c:strCache>
                <c:ptCount val="9"/>
                <c:pt idx="0">
                  <c:v>Day 0</c:v>
                </c:pt>
                <c:pt idx="1">
                  <c:v>8-Oct-18</c:v>
                </c:pt>
                <c:pt idx="2">
                  <c:v>9-Oct-18</c:v>
                </c:pt>
                <c:pt idx="3">
                  <c:v>10-Oct-18</c:v>
                </c:pt>
                <c:pt idx="4">
                  <c:v>11-Oct-18</c:v>
                </c:pt>
                <c:pt idx="5">
                  <c:v>12-Oct-18</c:v>
                </c:pt>
                <c:pt idx="6">
                  <c:v>13-Oct-18</c:v>
                </c:pt>
                <c:pt idx="7">
                  <c:v>14-Oct-18</c:v>
                </c:pt>
                <c:pt idx="8">
                  <c:v>15-Oct-18</c:v>
                </c:pt>
              </c:strCache>
            </c:strRef>
          </c:cat>
          <c:val>
            <c:numRef>
              <c:f>[0]!HoursR</c:f>
              <c:numCache>
                <c:formatCode>0</c:formatCode>
                <c:ptCount val="9"/>
                <c:pt idx="0">
                  <c:v>92</c:v>
                </c:pt>
                <c:pt idx="1">
                  <c:v>82</c:v>
                </c:pt>
                <c:pt idx="2">
                  <c:v>72</c:v>
                </c:pt>
                <c:pt idx="3">
                  <c:v>61</c:v>
                </c:pt>
                <c:pt idx="4">
                  <c:v>56</c:v>
                </c:pt>
                <c:pt idx="5">
                  <c:v>56</c:v>
                </c:pt>
                <c:pt idx="6">
                  <c:v>56</c:v>
                </c:pt>
                <c:pt idx="7">
                  <c:v>47</c:v>
                </c:pt>
                <c:pt idx="8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37-4EB6-844F-CE37DF23D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270808"/>
        <c:axId val="157314904"/>
      </c:barChart>
      <c:catAx>
        <c:axId val="467270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14904"/>
        <c:crosses val="autoZero"/>
        <c:auto val="1"/>
        <c:lblAlgn val="ctr"/>
        <c:lblOffset val="100"/>
        <c:noMultiLvlLbl val="0"/>
      </c:catAx>
      <c:valAx>
        <c:axId val="157314904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2708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3</xdr:row>
      <xdr:rowOff>76200</xdr:rowOff>
    </xdr:from>
    <xdr:to>
      <xdr:col>10</xdr:col>
      <xdr:colOff>76200</xdr:colOff>
      <xdr:row>22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161925</xdr:colOff>
      <xdr:row>3</xdr:row>
      <xdr:rowOff>76200</xdr:rowOff>
    </xdr:from>
    <xdr:to>
      <xdr:col>19</xdr:col>
      <xdr:colOff>447675</xdr:colOff>
      <xdr:row>22</xdr:row>
      <xdr:rowOff>47625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66675</xdr:colOff>
      <xdr:row>23</xdr:row>
      <xdr:rowOff>180975</xdr:rowOff>
    </xdr:from>
    <xdr:to>
      <xdr:col>10</xdr:col>
      <xdr:colOff>85725</xdr:colOff>
      <xdr:row>42</xdr:row>
      <xdr:rowOff>152400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23</xdr:row>
      <xdr:rowOff>180975</xdr:rowOff>
    </xdr:from>
    <xdr:to>
      <xdr:col>19</xdr:col>
      <xdr:colOff>457200</xdr:colOff>
      <xdr:row>42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123825</xdr:rowOff>
        </xdr:from>
        <xdr:to>
          <xdr:col>1</xdr:col>
          <xdr:colOff>838200</xdr:colOff>
          <xdr:row>0</xdr:row>
          <xdr:rowOff>495300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Old Data</a:t>
              </a: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:L3"/>
  <sheetViews>
    <sheetView workbookViewId="0">
      <selection activeCell="K24" sqref="K24"/>
    </sheetView>
  </sheetViews>
  <sheetFormatPr defaultRowHeight="15" x14ac:dyDescent="0.25"/>
  <cols>
    <col min="11" max="11" width="2.5703125" customWidth="1"/>
    <col min="12" max="12" width="20.85546875" bestFit="1" customWidth="1"/>
  </cols>
  <sheetData>
    <row r="1" spans="4:12" x14ac:dyDescent="0.25">
      <c r="D1" s="16" t="s">
        <v>23</v>
      </c>
      <c r="E1" s="14"/>
      <c r="F1" s="14"/>
      <c r="G1" s="14"/>
      <c r="H1" s="14"/>
      <c r="I1" s="14"/>
      <c r="J1" s="15"/>
      <c r="L1" s="9" t="s">
        <v>19</v>
      </c>
    </row>
    <row r="2" spans="4:12" x14ac:dyDescent="0.25">
      <c r="D2" s="14"/>
      <c r="E2" s="14"/>
      <c r="F2" s="14"/>
      <c r="G2" s="14"/>
      <c r="H2" s="14"/>
      <c r="I2" s="14"/>
      <c r="J2" s="15"/>
      <c r="L2" s="1" t="s">
        <v>21</v>
      </c>
    </row>
    <row r="3" spans="4:12" x14ac:dyDescent="0.25">
      <c r="L3" s="1" t="s">
        <v>22</v>
      </c>
    </row>
  </sheetData>
  <mergeCells count="1">
    <mergeCell ref="D1:J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J203"/>
  <sheetViews>
    <sheetView tabSelected="1" topLeftCell="B1" workbookViewId="0">
      <pane ySplit="2" topLeftCell="A3" activePane="bottomLeft" state="frozen"/>
      <selection pane="bottomLeft" activeCell="H14" sqref="H14"/>
    </sheetView>
  </sheetViews>
  <sheetFormatPr defaultColWidth="0" defaultRowHeight="15" zeroHeight="1" x14ac:dyDescent="0.25"/>
  <cols>
    <col min="1" max="1" width="19.7109375" customWidth="1"/>
    <col min="2" max="2" width="13.85546875" customWidth="1"/>
    <col min="3" max="62" width="9.140625" customWidth="1"/>
    <col min="63" max="16384" width="9.140625" hidden="1"/>
  </cols>
  <sheetData>
    <row r="1" spans="1:62" ht="60" customHeight="1" x14ac:dyDescent="0.25">
      <c r="C1" s="11" t="s">
        <v>24</v>
      </c>
      <c r="D1" s="11"/>
      <c r="E1" s="11"/>
      <c r="F1" s="11"/>
      <c r="G1" s="11"/>
      <c r="H1" s="11"/>
      <c r="I1" s="11"/>
      <c r="J1" s="11"/>
      <c r="K1" s="11"/>
      <c r="L1" s="11"/>
      <c r="M1" s="11"/>
      <c r="N1" s="12"/>
      <c r="O1" s="13"/>
      <c r="P1" s="13"/>
      <c r="Q1" s="13"/>
      <c r="R1" s="13"/>
      <c r="S1" s="13"/>
      <c r="T1" s="10"/>
    </row>
    <row r="2" spans="1:62" s="1" customFormat="1" x14ac:dyDescent="0.25">
      <c r="A2" s="5" t="s">
        <v>20</v>
      </c>
      <c r="B2" s="5" t="str">
        <f>IF('Burndown Chart'!$L$2="","Planned Effort",'Burndown Chart'!$L$2)</f>
        <v>Esforço Planejado</v>
      </c>
      <c r="C2" s="5">
        <v>43381</v>
      </c>
      <c r="D2" s="5">
        <v>43382</v>
      </c>
      <c r="E2" s="5">
        <v>43383</v>
      </c>
      <c r="F2" s="5">
        <v>43384</v>
      </c>
      <c r="G2" s="5">
        <v>43385</v>
      </c>
      <c r="H2" s="5">
        <v>43386</v>
      </c>
      <c r="I2" s="5">
        <v>43387</v>
      </c>
      <c r="J2" s="5">
        <v>43388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</row>
    <row r="3" spans="1:62" x14ac:dyDescent="0.25">
      <c r="A3" t="s">
        <v>2</v>
      </c>
      <c r="B3">
        <v>10</v>
      </c>
      <c r="C3" s="3">
        <v>10</v>
      </c>
      <c r="D3" s="3">
        <v>10</v>
      </c>
      <c r="E3" s="3">
        <v>10</v>
      </c>
      <c r="F3" s="3">
        <v>10</v>
      </c>
      <c r="G3" s="3">
        <v>10</v>
      </c>
      <c r="H3" s="3">
        <v>10</v>
      </c>
      <c r="I3" s="3">
        <v>10</v>
      </c>
      <c r="J3" s="3">
        <v>3</v>
      </c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</row>
    <row r="4" spans="1:62" x14ac:dyDescent="0.25">
      <c r="A4" t="s">
        <v>3</v>
      </c>
      <c r="B4">
        <v>8</v>
      </c>
      <c r="C4" s="3">
        <v>8</v>
      </c>
      <c r="D4" s="3">
        <v>5</v>
      </c>
      <c r="E4" s="3">
        <v>3</v>
      </c>
      <c r="F4" s="3">
        <v>3</v>
      </c>
      <c r="G4" s="3">
        <v>3</v>
      </c>
      <c r="H4" s="3">
        <v>3</v>
      </c>
      <c r="I4" s="3">
        <v>3</v>
      </c>
      <c r="J4" s="3">
        <v>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</row>
    <row r="5" spans="1:62" x14ac:dyDescent="0.25">
      <c r="A5" t="s">
        <v>4</v>
      </c>
      <c r="B5">
        <v>11</v>
      </c>
      <c r="C5" s="3">
        <v>11</v>
      </c>
      <c r="D5" s="3">
        <v>11</v>
      </c>
      <c r="E5" s="3">
        <v>11</v>
      </c>
      <c r="F5" s="3">
        <v>11</v>
      </c>
      <c r="G5" s="3">
        <v>11</v>
      </c>
      <c r="H5" s="3">
        <v>11</v>
      </c>
      <c r="I5" s="3">
        <v>11</v>
      </c>
      <c r="J5" s="3">
        <v>0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</row>
    <row r="6" spans="1:62" x14ac:dyDescent="0.25">
      <c r="A6" t="s">
        <v>5</v>
      </c>
      <c r="B6">
        <v>15</v>
      </c>
      <c r="C6" s="3">
        <v>10</v>
      </c>
      <c r="D6" s="3">
        <v>8</v>
      </c>
      <c r="E6" s="3">
        <v>7</v>
      </c>
      <c r="F6" s="3">
        <v>7</v>
      </c>
      <c r="G6" s="3">
        <v>7</v>
      </c>
      <c r="H6" s="3">
        <v>7</v>
      </c>
      <c r="I6" s="3">
        <v>3</v>
      </c>
      <c r="J6" s="3">
        <v>3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</row>
    <row r="7" spans="1:62" x14ac:dyDescent="0.25">
      <c r="A7" t="s">
        <v>6</v>
      </c>
      <c r="B7">
        <v>18</v>
      </c>
      <c r="C7" s="3">
        <v>15</v>
      </c>
      <c r="D7" s="3">
        <v>13</v>
      </c>
      <c r="E7" s="3">
        <v>8</v>
      </c>
      <c r="F7" s="3">
        <v>5</v>
      </c>
      <c r="G7" s="3">
        <v>5</v>
      </c>
      <c r="H7" s="3">
        <v>5</v>
      </c>
      <c r="I7" s="3">
        <v>0</v>
      </c>
      <c r="J7" s="3">
        <v>0</v>
      </c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</row>
    <row r="8" spans="1:62" x14ac:dyDescent="0.25">
      <c r="A8" t="s">
        <v>7</v>
      </c>
      <c r="B8">
        <v>10</v>
      </c>
      <c r="C8" s="3">
        <v>8</v>
      </c>
      <c r="D8" s="3">
        <v>5</v>
      </c>
      <c r="E8" s="3">
        <v>2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</row>
    <row r="9" spans="1:62" x14ac:dyDescent="0.25">
      <c r="A9" t="s">
        <v>8</v>
      </c>
      <c r="B9">
        <v>20</v>
      </c>
      <c r="C9" s="3">
        <v>20</v>
      </c>
      <c r="D9" s="3">
        <v>20</v>
      </c>
      <c r="E9" s="3">
        <v>20</v>
      </c>
      <c r="F9" s="3">
        <v>20</v>
      </c>
      <c r="G9" s="3">
        <v>20</v>
      </c>
      <c r="H9" s="3">
        <v>20</v>
      </c>
      <c r="I9" s="3">
        <v>20</v>
      </c>
      <c r="J9" s="3">
        <v>2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</row>
    <row r="10" spans="1:62" x14ac:dyDescent="0.25">
      <c r="A10" t="s">
        <v>9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</row>
    <row r="11" spans="1:62" x14ac:dyDescent="0.25">
      <c r="A11" t="s">
        <v>10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</row>
    <row r="12" spans="1:62" x14ac:dyDescent="0.25">
      <c r="A12" t="s">
        <v>11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</row>
    <row r="13" spans="1:62" x14ac:dyDescent="0.25">
      <c r="A13" t="s">
        <v>12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</row>
    <row r="14" spans="1:62" x14ac:dyDescent="0.25">
      <c r="A14" t="s">
        <v>13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</row>
    <row r="15" spans="1:62" x14ac:dyDescent="0.25">
      <c r="A15" t="s">
        <v>14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</row>
    <row r="16" spans="1:62" x14ac:dyDescent="0.25">
      <c r="A16" t="s">
        <v>15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</row>
    <row r="17" spans="1:62" x14ac:dyDescent="0.25">
      <c r="A17" t="s">
        <v>16</v>
      </c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</row>
    <row r="18" spans="1:62" x14ac:dyDescent="0.25"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</row>
    <row r="19" spans="1:62" x14ac:dyDescent="0.25"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</row>
    <row r="20" spans="1:62" x14ac:dyDescent="0.25"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</row>
    <row r="21" spans="1:62" x14ac:dyDescent="0.25"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</row>
    <row r="22" spans="1:62" x14ac:dyDescent="0.25"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</row>
    <row r="23" spans="1:62" x14ac:dyDescent="0.25"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</row>
    <row r="24" spans="1:62" x14ac:dyDescent="0.25"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</row>
    <row r="25" spans="1:62" x14ac:dyDescent="0.25"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</row>
    <row r="26" spans="1:62" x14ac:dyDescent="0.2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</row>
    <row r="27" spans="1:62" x14ac:dyDescent="0.2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</row>
    <row r="28" spans="1:62" x14ac:dyDescent="0.2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</row>
    <row r="29" spans="1:62" x14ac:dyDescent="0.25"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</row>
    <row r="30" spans="1:62" x14ac:dyDescent="0.25"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</row>
    <row r="31" spans="1:62" x14ac:dyDescent="0.25"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</row>
    <row r="32" spans="1:62" x14ac:dyDescent="0.25"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</row>
    <row r="33" spans="3:62" x14ac:dyDescent="0.25"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</row>
    <row r="34" spans="3:62" x14ac:dyDescent="0.25"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</row>
    <row r="35" spans="3:62" x14ac:dyDescent="0.25"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</row>
    <row r="36" spans="3:62" x14ac:dyDescent="0.25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</row>
    <row r="37" spans="3:62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</row>
    <row r="38" spans="3:62" x14ac:dyDescent="0.25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</row>
    <row r="39" spans="3:62" x14ac:dyDescent="0.25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</row>
    <row r="40" spans="3:62" x14ac:dyDescent="0.25"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</row>
    <row r="41" spans="3:62" x14ac:dyDescent="0.25"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</row>
    <row r="42" spans="3:62" x14ac:dyDescent="0.25"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</row>
    <row r="43" spans="3:62" x14ac:dyDescent="0.25"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</row>
    <row r="44" spans="3:62" x14ac:dyDescent="0.25"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</row>
    <row r="45" spans="3:62" x14ac:dyDescent="0.25"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</row>
    <row r="46" spans="3:62" x14ac:dyDescent="0.25"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</row>
    <row r="47" spans="3:62" x14ac:dyDescent="0.25"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</row>
    <row r="48" spans="3:62" x14ac:dyDescent="0.25"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</row>
    <row r="49" spans="3:62" x14ac:dyDescent="0.25"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</row>
    <row r="50" spans="3:62" x14ac:dyDescent="0.25"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</row>
    <row r="51" spans="3:62" x14ac:dyDescent="0.25"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</row>
    <row r="52" spans="3:62" x14ac:dyDescent="0.25"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</row>
    <row r="53" spans="3:62" x14ac:dyDescent="0.25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</row>
    <row r="54" spans="3:62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</row>
    <row r="55" spans="3:62" x14ac:dyDescent="0.25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</row>
    <row r="56" spans="3:62" x14ac:dyDescent="0.25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</row>
    <row r="57" spans="3:62" x14ac:dyDescent="0.25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</row>
    <row r="58" spans="3:62" x14ac:dyDescent="0.25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</row>
    <row r="59" spans="3:62" x14ac:dyDescent="0.25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</row>
    <row r="60" spans="3:62" x14ac:dyDescent="0.25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</row>
    <row r="61" spans="3:62" x14ac:dyDescent="0.25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</row>
    <row r="62" spans="3:62" x14ac:dyDescent="0.2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</row>
    <row r="63" spans="3:62" x14ac:dyDescent="0.2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</row>
    <row r="64" spans="3:62" x14ac:dyDescent="0.2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</row>
    <row r="65" spans="3:62" x14ac:dyDescent="0.25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</row>
    <row r="66" spans="3:62" x14ac:dyDescent="0.2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</row>
    <row r="67" spans="3:62" x14ac:dyDescent="0.25"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</row>
    <row r="68" spans="3:62" x14ac:dyDescent="0.25"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</row>
    <row r="69" spans="3:62" x14ac:dyDescent="0.25"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</row>
    <row r="70" spans="3:62" x14ac:dyDescent="0.25"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</row>
    <row r="71" spans="3:62" x14ac:dyDescent="0.25"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</row>
    <row r="72" spans="3:62" x14ac:dyDescent="0.25"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</row>
    <row r="73" spans="3:62" x14ac:dyDescent="0.25"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</row>
    <row r="74" spans="3:62" x14ac:dyDescent="0.25"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</row>
    <row r="75" spans="3:62" x14ac:dyDescent="0.25"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</row>
    <row r="76" spans="3:62" x14ac:dyDescent="0.25"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</row>
    <row r="77" spans="3:62" x14ac:dyDescent="0.25"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</row>
    <row r="78" spans="3:62" x14ac:dyDescent="0.25"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</row>
    <row r="79" spans="3:62" x14ac:dyDescent="0.25"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</row>
    <row r="80" spans="3:62" x14ac:dyDescent="0.25"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</row>
    <row r="81" spans="3:62" x14ac:dyDescent="0.25"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</row>
    <row r="82" spans="3:62" x14ac:dyDescent="0.25"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</row>
    <row r="83" spans="3:62" x14ac:dyDescent="0.25"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</row>
    <row r="84" spans="3:62" x14ac:dyDescent="0.25"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</row>
    <row r="85" spans="3:62" x14ac:dyDescent="0.25"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</row>
    <row r="86" spans="3:62" x14ac:dyDescent="0.25"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</row>
    <row r="87" spans="3:62" x14ac:dyDescent="0.25"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</row>
    <row r="88" spans="3:62" x14ac:dyDescent="0.25"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</row>
    <row r="89" spans="3:62" x14ac:dyDescent="0.25"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</row>
    <row r="90" spans="3:62" x14ac:dyDescent="0.25"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</row>
    <row r="91" spans="3:62" x14ac:dyDescent="0.25"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</row>
    <row r="92" spans="3:62" x14ac:dyDescent="0.25"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</row>
    <row r="93" spans="3:62" x14ac:dyDescent="0.25"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</row>
    <row r="94" spans="3:62" x14ac:dyDescent="0.25"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</row>
    <row r="95" spans="3:62" x14ac:dyDescent="0.25"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</row>
    <row r="96" spans="3:62" x14ac:dyDescent="0.25"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</row>
    <row r="97" spans="3:62" x14ac:dyDescent="0.25"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</row>
    <row r="98" spans="3:62" x14ac:dyDescent="0.25"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</row>
    <row r="99" spans="3:62" x14ac:dyDescent="0.25"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</row>
    <row r="100" spans="3:62" x14ac:dyDescent="0.25"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</row>
    <row r="101" spans="3:62" x14ac:dyDescent="0.25"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</row>
    <row r="102" spans="3:62" x14ac:dyDescent="0.25"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</row>
    <row r="103" spans="3:62" x14ac:dyDescent="0.25"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</row>
    <row r="104" spans="3:62" x14ac:dyDescent="0.25"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</row>
    <row r="105" spans="3:62" x14ac:dyDescent="0.25"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</row>
    <row r="106" spans="3:62" x14ac:dyDescent="0.25"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</row>
    <row r="107" spans="3:62" x14ac:dyDescent="0.25"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</row>
    <row r="108" spans="3:62" x14ac:dyDescent="0.25"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</row>
    <row r="109" spans="3:62" x14ac:dyDescent="0.25"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</row>
    <row r="110" spans="3:62" x14ac:dyDescent="0.25"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</row>
    <row r="111" spans="3:62" x14ac:dyDescent="0.25"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</row>
    <row r="112" spans="3:62" x14ac:dyDescent="0.25"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</row>
    <row r="113" spans="3:62" x14ac:dyDescent="0.25"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  <row r="114" spans="3:62" x14ac:dyDescent="0.25"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</row>
    <row r="115" spans="3:62" x14ac:dyDescent="0.25"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</row>
    <row r="116" spans="3:62" x14ac:dyDescent="0.25"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</row>
    <row r="117" spans="3:62" x14ac:dyDescent="0.25"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</row>
    <row r="118" spans="3:62" x14ac:dyDescent="0.25"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</row>
    <row r="119" spans="3:62" x14ac:dyDescent="0.25"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</row>
    <row r="120" spans="3:62" x14ac:dyDescent="0.25"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</row>
    <row r="121" spans="3:62" x14ac:dyDescent="0.25"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</row>
    <row r="122" spans="3:62" x14ac:dyDescent="0.25"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</row>
    <row r="123" spans="3:62" x14ac:dyDescent="0.25"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</row>
    <row r="124" spans="3:62" x14ac:dyDescent="0.25"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</row>
    <row r="125" spans="3:62" x14ac:dyDescent="0.25"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</row>
    <row r="126" spans="3:62" x14ac:dyDescent="0.25"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</row>
    <row r="127" spans="3:62" x14ac:dyDescent="0.25"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</row>
    <row r="128" spans="3:62" x14ac:dyDescent="0.25"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</row>
    <row r="129" spans="3:62" x14ac:dyDescent="0.25"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</row>
    <row r="130" spans="3:62" x14ac:dyDescent="0.25"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</row>
    <row r="131" spans="3:62" x14ac:dyDescent="0.25"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</row>
    <row r="132" spans="3:62" x14ac:dyDescent="0.25"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</row>
    <row r="133" spans="3:62" x14ac:dyDescent="0.25"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</row>
    <row r="134" spans="3:62" x14ac:dyDescent="0.25"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</row>
    <row r="135" spans="3:62" x14ac:dyDescent="0.25"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</row>
    <row r="136" spans="3:62" x14ac:dyDescent="0.25"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</row>
    <row r="137" spans="3:62" x14ac:dyDescent="0.25"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</row>
    <row r="138" spans="3:62" x14ac:dyDescent="0.25"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</row>
    <row r="139" spans="3:62" x14ac:dyDescent="0.25"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</row>
    <row r="140" spans="3:62" x14ac:dyDescent="0.25"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</row>
    <row r="141" spans="3:62" x14ac:dyDescent="0.25"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</row>
    <row r="142" spans="3:62" x14ac:dyDescent="0.25"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</row>
    <row r="143" spans="3:62" x14ac:dyDescent="0.25"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</row>
    <row r="144" spans="3:62" x14ac:dyDescent="0.25"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</row>
    <row r="145" spans="3:62" x14ac:dyDescent="0.25"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</row>
    <row r="146" spans="3:62" x14ac:dyDescent="0.25"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</row>
    <row r="147" spans="3:62" x14ac:dyDescent="0.25"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</row>
    <row r="148" spans="3:62" x14ac:dyDescent="0.25"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</row>
    <row r="149" spans="3:62" x14ac:dyDescent="0.25"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</row>
    <row r="150" spans="3:62" x14ac:dyDescent="0.25"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</row>
    <row r="151" spans="3:62" x14ac:dyDescent="0.25"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</row>
    <row r="152" spans="3:62" x14ac:dyDescent="0.25"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</row>
    <row r="153" spans="3:62" x14ac:dyDescent="0.25"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</row>
    <row r="154" spans="3:62" x14ac:dyDescent="0.25"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</row>
    <row r="155" spans="3:62" x14ac:dyDescent="0.25"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</row>
    <row r="156" spans="3:62" x14ac:dyDescent="0.25"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  <row r="157" spans="3:62" x14ac:dyDescent="0.25"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</row>
    <row r="158" spans="3:62" x14ac:dyDescent="0.25"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</row>
    <row r="159" spans="3:62" x14ac:dyDescent="0.25"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</row>
    <row r="160" spans="3:62" x14ac:dyDescent="0.25"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</row>
    <row r="161" spans="3:62" x14ac:dyDescent="0.25"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</row>
    <row r="162" spans="3:62" x14ac:dyDescent="0.25"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</row>
    <row r="163" spans="3:62" x14ac:dyDescent="0.25"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</row>
    <row r="164" spans="3:62" x14ac:dyDescent="0.25"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</row>
    <row r="165" spans="3:62" x14ac:dyDescent="0.25"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</row>
    <row r="166" spans="3:62" x14ac:dyDescent="0.25"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</row>
    <row r="167" spans="3:62" x14ac:dyDescent="0.25"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</row>
    <row r="168" spans="3:62" x14ac:dyDescent="0.25"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</row>
    <row r="169" spans="3:62" x14ac:dyDescent="0.25"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</row>
    <row r="170" spans="3:62" x14ac:dyDescent="0.25"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</row>
    <row r="171" spans="3:62" x14ac:dyDescent="0.25"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</row>
    <row r="172" spans="3:62" x14ac:dyDescent="0.25"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</row>
    <row r="173" spans="3:62" x14ac:dyDescent="0.25"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</row>
    <row r="174" spans="3:62" x14ac:dyDescent="0.25"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</row>
    <row r="175" spans="3:62" x14ac:dyDescent="0.25"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</row>
    <row r="176" spans="3:62" x14ac:dyDescent="0.25"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</row>
    <row r="177" spans="3:62" x14ac:dyDescent="0.25"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</row>
    <row r="178" spans="3:62" x14ac:dyDescent="0.25"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</row>
    <row r="179" spans="3:62" x14ac:dyDescent="0.25"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</row>
    <row r="180" spans="3:62" x14ac:dyDescent="0.25"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</row>
    <row r="181" spans="3:62" x14ac:dyDescent="0.25"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</row>
    <row r="182" spans="3:62" x14ac:dyDescent="0.25"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</row>
    <row r="183" spans="3:62" x14ac:dyDescent="0.25"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</row>
    <row r="184" spans="3:62" x14ac:dyDescent="0.25"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</row>
    <row r="185" spans="3:62" x14ac:dyDescent="0.25"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</row>
    <row r="186" spans="3:62" x14ac:dyDescent="0.25"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</row>
    <row r="187" spans="3:62" x14ac:dyDescent="0.25"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</row>
    <row r="188" spans="3:62" x14ac:dyDescent="0.25"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</row>
    <row r="189" spans="3:62" x14ac:dyDescent="0.25"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</row>
    <row r="190" spans="3:62" x14ac:dyDescent="0.25"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</row>
    <row r="191" spans="3:62" x14ac:dyDescent="0.25"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</row>
    <row r="192" spans="3:62" x14ac:dyDescent="0.25"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</row>
    <row r="193" spans="3:62" x14ac:dyDescent="0.25"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</row>
    <row r="194" spans="3:62" x14ac:dyDescent="0.25"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</row>
    <row r="195" spans="3:62" x14ac:dyDescent="0.25"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</row>
    <row r="196" spans="3:62" x14ac:dyDescent="0.25"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</row>
    <row r="197" spans="3:62" x14ac:dyDescent="0.25"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</row>
    <row r="198" spans="3:62" x14ac:dyDescent="0.25"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</row>
    <row r="199" spans="3:62" x14ac:dyDescent="0.25"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</row>
    <row r="200" spans="3:62" x14ac:dyDescent="0.25"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</row>
    <row r="201" spans="3:62" x14ac:dyDescent="0.25"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</row>
    <row r="202" spans="3:62" x14ac:dyDescent="0.25"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</row>
    <row r="203" spans="3:62" hidden="1" x14ac:dyDescent="0.25"/>
  </sheetData>
  <mergeCells count="2">
    <mergeCell ref="C1:M1"/>
    <mergeCell ref="N1:T1"/>
  </mergeCells>
  <conditionalFormatting sqref="C2:BJ2">
    <cfRule type="expression" dxfId="0" priority="1">
      <formula>AND(C$2&lt;&gt;"",WEEKDAY(C$2,2)&gt;5)</formula>
    </cfRule>
  </conditionalFormatting>
  <dataValidations count="3">
    <dataValidation type="date" allowBlank="1" showInputMessage="1" showErrorMessage="1" errorTitle="Erorr in the Date Entry" error="Only a valid date between 1-Jan-2015 to 31-Dec-9999 is permitted" promptTitle="Date Entry" prompt="Enter a valid date between 1-Jan-2015 to 31-Dec-9999." sqref="C2:BJ2">
      <formula1>42005</formula1>
      <formula2>2958465</formula2>
    </dataValidation>
    <dataValidation type="decimal" operator="greaterThanOrEqual" allowBlank="1" showInputMessage="1" showErrorMessage="1" errorTitle="Entry Error" error="Planned Effort Should be &gt;=0" sqref="B3:B202">
      <formula1>0</formula1>
    </dataValidation>
    <dataValidation type="custom" showInputMessage="1" showErrorMessage="1" errorTitle="Input Error" error="Read the Validations Rules to Input Right Data" sqref="C3:BJ202">
      <formula1>AND(C3&lt;=B3,C3&gt;=0)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PreviousData">
                <anchor moveWithCells="1" sizeWithCells="1">
                  <from>
                    <xdr:col>0</xdr:col>
                    <xdr:colOff>76200</xdr:colOff>
                    <xdr:row>0</xdr:row>
                    <xdr:rowOff>123825</xdr:rowOff>
                  </from>
                  <to>
                    <xdr:col>1</xdr:col>
                    <xdr:colOff>838200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J14"/>
  <sheetViews>
    <sheetView workbookViewId="0">
      <selection activeCell="A2" sqref="A2"/>
    </sheetView>
  </sheetViews>
  <sheetFormatPr defaultColWidth="0" defaultRowHeight="15" x14ac:dyDescent="0.25"/>
  <cols>
    <col min="1" max="1" width="16" style="1" bestFit="1" customWidth="1"/>
    <col min="2" max="2" width="9.42578125" style="2" customWidth="1"/>
    <col min="3" max="62" width="9.140625" customWidth="1"/>
    <col min="63" max="16384" width="9.140625" hidden="1"/>
  </cols>
  <sheetData>
    <row r="1" spans="1:62" s="1" customFormat="1" x14ac:dyDescent="0.25">
      <c r="A1" s="1" t="s">
        <v>0</v>
      </c>
      <c r="B1" s="1" t="s">
        <v>1</v>
      </c>
      <c r="C1" s="8">
        <f>IF(Input!C$2="","",Input!C$2)</f>
        <v>43381</v>
      </c>
      <c r="D1" s="8">
        <f>IF(Input!D$2="","",Input!D$2)</f>
        <v>43382</v>
      </c>
      <c r="E1" s="8">
        <f>IF(Input!E$2="","",Input!E$2)</f>
        <v>43383</v>
      </c>
      <c r="F1" s="8">
        <f>IF(Input!F$2="","",Input!F$2)</f>
        <v>43384</v>
      </c>
      <c r="G1" s="8">
        <f>IF(Input!G$2="","",Input!G$2)</f>
        <v>43385</v>
      </c>
      <c r="H1" s="8">
        <f>IF(Input!H$2="","",Input!H$2)</f>
        <v>43386</v>
      </c>
      <c r="I1" s="8">
        <f>IF(Input!I$2="","",Input!I$2)</f>
        <v>43387</v>
      </c>
      <c r="J1" s="8">
        <f>IF(Input!J$2="","",Input!J$2)</f>
        <v>43388</v>
      </c>
      <c r="K1" s="8" t="str">
        <f>IF(Input!K$2="","",Input!K$2)</f>
        <v/>
      </c>
      <c r="L1" s="8" t="str">
        <f>IF(Input!L$2="","",Input!L$2)</f>
        <v/>
      </c>
      <c r="M1" s="8" t="str">
        <f>IF(Input!M$2="","",Input!M$2)</f>
        <v/>
      </c>
      <c r="N1" s="8" t="str">
        <f>IF(Input!N$2="","",Input!N$2)</f>
        <v/>
      </c>
      <c r="O1" s="8" t="str">
        <f>IF(Input!O$2="","",Input!O$2)</f>
        <v/>
      </c>
      <c r="P1" s="8" t="str">
        <f>IF(Input!P$2="","",Input!P$2)</f>
        <v/>
      </c>
      <c r="Q1" s="8" t="str">
        <f>IF(Input!Q$2="","",Input!Q$2)</f>
        <v/>
      </c>
      <c r="R1" s="8" t="str">
        <f>IF(Input!R$2="","",Input!R$2)</f>
        <v/>
      </c>
      <c r="S1" s="8" t="str">
        <f>IF(Input!S$2="","",Input!S$2)</f>
        <v/>
      </c>
      <c r="T1" s="8" t="str">
        <f>IF(Input!T$2="","",Input!T$2)</f>
        <v/>
      </c>
      <c r="U1" s="8" t="str">
        <f>IF(Input!U$2="","",Input!U$2)</f>
        <v/>
      </c>
      <c r="V1" s="8" t="str">
        <f>IF(Input!V$2="","",Input!V$2)</f>
        <v/>
      </c>
      <c r="W1" s="8" t="str">
        <f>IF(Input!W$2="","",Input!W$2)</f>
        <v/>
      </c>
      <c r="X1" s="8" t="str">
        <f>IF(Input!X$2="","",Input!X$2)</f>
        <v/>
      </c>
      <c r="Y1" s="8" t="str">
        <f>IF(Input!Y$2="","",Input!Y$2)</f>
        <v/>
      </c>
      <c r="Z1" s="8" t="str">
        <f>IF(Input!Z$2="","",Input!Z$2)</f>
        <v/>
      </c>
      <c r="AA1" s="8" t="str">
        <f>IF(Input!AA$2="","",Input!AA$2)</f>
        <v/>
      </c>
      <c r="AB1" s="8" t="str">
        <f>IF(Input!AB$2="","",Input!AB$2)</f>
        <v/>
      </c>
      <c r="AC1" s="8" t="str">
        <f>IF(Input!AC$2="","",Input!AC$2)</f>
        <v/>
      </c>
      <c r="AD1" s="8" t="str">
        <f>IF(Input!AD$2="","",Input!AD$2)</f>
        <v/>
      </c>
      <c r="AE1" s="8" t="str">
        <f>IF(Input!AE$2="","",Input!AE$2)</f>
        <v/>
      </c>
      <c r="AF1" s="8" t="str">
        <f>IF(Input!AF$2="","",Input!AF$2)</f>
        <v/>
      </c>
      <c r="AG1" s="8" t="str">
        <f>IF(Input!AG$2="","",Input!AG$2)</f>
        <v/>
      </c>
      <c r="AH1" s="8" t="str">
        <f>IF(Input!AH$2="","",Input!AH$2)</f>
        <v/>
      </c>
      <c r="AI1" s="8" t="str">
        <f>IF(Input!AI$2="","",Input!AI$2)</f>
        <v/>
      </c>
      <c r="AJ1" s="8" t="str">
        <f>IF(Input!AJ$2="","",Input!AJ$2)</f>
        <v/>
      </c>
      <c r="AK1" s="8" t="str">
        <f>IF(Input!AK$2="","",Input!AK$2)</f>
        <v/>
      </c>
      <c r="AL1" s="8" t="str">
        <f>IF(Input!AL$2="","",Input!AL$2)</f>
        <v/>
      </c>
      <c r="AM1" s="8" t="str">
        <f>IF(Input!AM$2="","",Input!AM$2)</f>
        <v/>
      </c>
      <c r="AN1" s="8" t="str">
        <f>IF(Input!AN$2="","",Input!AN$2)</f>
        <v/>
      </c>
      <c r="AO1" s="8" t="str">
        <f>IF(Input!AO$2="","",Input!AO$2)</f>
        <v/>
      </c>
      <c r="AP1" s="8" t="str">
        <f>IF(Input!AP$2="","",Input!AP$2)</f>
        <v/>
      </c>
      <c r="AQ1" s="8" t="str">
        <f>IF(Input!AQ$2="","",Input!AQ$2)</f>
        <v/>
      </c>
      <c r="AR1" s="8" t="str">
        <f>IF(Input!AR$2="","",Input!AR$2)</f>
        <v/>
      </c>
      <c r="AS1" s="8" t="str">
        <f>IF(Input!AS$2="","",Input!AS$2)</f>
        <v/>
      </c>
      <c r="AT1" s="8" t="str">
        <f>IF(Input!AT$2="","",Input!AT$2)</f>
        <v/>
      </c>
      <c r="AU1" s="8" t="str">
        <f>IF(Input!AU$2="","",Input!AU$2)</f>
        <v/>
      </c>
      <c r="AV1" s="8" t="str">
        <f>IF(Input!AV$2="","",Input!AV$2)</f>
        <v/>
      </c>
      <c r="AW1" s="8" t="str">
        <f>IF(Input!AW$2="","",Input!AW$2)</f>
        <v/>
      </c>
      <c r="AX1" s="8" t="str">
        <f>IF(Input!AX$2="","",Input!AX$2)</f>
        <v/>
      </c>
      <c r="AY1" s="8" t="str">
        <f>IF(Input!AY$2="","",Input!AY$2)</f>
        <v/>
      </c>
      <c r="AZ1" s="8" t="str">
        <f>IF(Input!AZ$2="","",Input!AZ$2)</f>
        <v/>
      </c>
      <c r="BA1" s="8" t="str">
        <f>IF(Input!BA$2="","",Input!BA$2)</f>
        <v/>
      </c>
      <c r="BB1" s="8" t="str">
        <f>IF(Input!BB$2="","",Input!BB$2)</f>
        <v/>
      </c>
      <c r="BC1" s="8" t="str">
        <f>IF(Input!BC$2="","",Input!BC$2)</f>
        <v/>
      </c>
      <c r="BD1" s="8" t="str">
        <f>IF(Input!BD$2="","",Input!BD$2)</f>
        <v/>
      </c>
      <c r="BE1" s="8" t="str">
        <f>IF(Input!BE$2="","",Input!BE$2)</f>
        <v/>
      </c>
      <c r="BF1" s="8" t="str">
        <f>IF(Input!BF$2="","",Input!BF$2)</f>
        <v/>
      </c>
      <c r="BG1" s="8" t="str">
        <f>IF(Input!BG$2="","",Input!BG$2)</f>
        <v/>
      </c>
      <c r="BH1" s="8" t="str">
        <f>IF(Input!BH$2="","",Input!BH$2)</f>
        <v/>
      </c>
      <c r="BI1" s="8" t="str">
        <f>IF(Input!BI$2="","",Input!BI$2)</f>
        <v/>
      </c>
      <c r="BJ1" s="8" t="str">
        <f>IF(Input!BJ$2="","",Input!BJ$2)</f>
        <v/>
      </c>
    </row>
    <row r="2" spans="1:62" s="4" customFormat="1" x14ac:dyDescent="0.25">
      <c r="A2" s="6" t="str">
        <f>IF('Burndown Chart'!$L$2="","Planned Effort",'Burndown Chart'!$L$2)</f>
        <v>Esforço Planejado</v>
      </c>
      <c r="B2" s="7">
        <f>SUM(Input!$B$3:$B$202)</f>
        <v>92</v>
      </c>
      <c r="C2" s="4">
        <f t="shared" ref="C2:AH2" si="0">IF(C$1="","",B$2-$B$2/(SUMPRODUCT(--($C$1:$BJ$1&lt;&gt;""))))</f>
        <v>80.5</v>
      </c>
      <c r="D2" s="4">
        <f t="shared" si="0"/>
        <v>69</v>
      </c>
      <c r="E2" s="4">
        <f t="shared" si="0"/>
        <v>57.5</v>
      </c>
      <c r="F2" s="4">
        <f t="shared" si="0"/>
        <v>46</v>
      </c>
      <c r="G2" s="4">
        <f t="shared" si="0"/>
        <v>34.5</v>
      </c>
      <c r="H2" s="4">
        <f t="shared" si="0"/>
        <v>23</v>
      </c>
      <c r="I2" s="4">
        <f t="shared" si="0"/>
        <v>11.5</v>
      </c>
      <c r="J2" s="4">
        <f t="shared" si="0"/>
        <v>0</v>
      </c>
      <c r="K2" s="4" t="str">
        <f t="shared" si="0"/>
        <v/>
      </c>
      <c r="L2" s="4" t="str">
        <f t="shared" si="0"/>
        <v/>
      </c>
      <c r="M2" s="4" t="str">
        <f t="shared" si="0"/>
        <v/>
      </c>
      <c r="N2" s="4" t="str">
        <f t="shared" si="0"/>
        <v/>
      </c>
      <c r="O2" s="4" t="str">
        <f t="shared" si="0"/>
        <v/>
      </c>
      <c r="P2" s="4" t="str">
        <f t="shared" si="0"/>
        <v/>
      </c>
      <c r="Q2" s="4" t="str">
        <f t="shared" si="0"/>
        <v/>
      </c>
      <c r="R2" s="4" t="str">
        <f t="shared" si="0"/>
        <v/>
      </c>
      <c r="S2" s="4" t="str">
        <f t="shared" si="0"/>
        <v/>
      </c>
      <c r="T2" s="4" t="str">
        <f t="shared" si="0"/>
        <v/>
      </c>
      <c r="U2" s="4" t="str">
        <f t="shared" si="0"/>
        <v/>
      </c>
      <c r="V2" s="4" t="str">
        <f t="shared" si="0"/>
        <v/>
      </c>
      <c r="W2" s="4" t="str">
        <f t="shared" si="0"/>
        <v/>
      </c>
      <c r="X2" s="4" t="str">
        <f t="shared" si="0"/>
        <v/>
      </c>
      <c r="Y2" s="4" t="str">
        <f t="shared" si="0"/>
        <v/>
      </c>
      <c r="Z2" s="4" t="str">
        <f t="shared" si="0"/>
        <v/>
      </c>
      <c r="AA2" s="4" t="str">
        <f t="shared" si="0"/>
        <v/>
      </c>
      <c r="AB2" s="4" t="str">
        <f t="shared" si="0"/>
        <v/>
      </c>
      <c r="AC2" s="4" t="str">
        <f t="shared" si="0"/>
        <v/>
      </c>
      <c r="AD2" s="4" t="str">
        <f t="shared" si="0"/>
        <v/>
      </c>
      <c r="AE2" s="4" t="str">
        <f t="shared" si="0"/>
        <v/>
      </c>
      <c r="AF2" s="4" t="str">
        <f t="shared" si="0"/>
        <v/>
      </c>
      <c r="AG2" s="4" t="str">
        <f t="shared" si="0"/>
        <v/>
      </c>
      <c r="AH2" s="4" t="str">
        <f t="shared" si="0"/>
        <v/>
      </c>
      <c r="AI2" s="4" t="str">
        <f t="shared" ref="AI2:BJ2" si="1">IF(AI$1="","",AH$2-$B$2/(SUMPRODUCT(--($C$1:$BJ$1&lt;&gt;""))))</f>
        <v/>
      </c>
      <c r="AJ2" s="4" t="str">
        <f t="shared" si="1"/>
        <v/>
      </c>
      <c r="AK2" s="4" t="str">
        <f t="shared" si="1"/>
        <v/>
      </c>
      <c r="AL2" s="4" t="str">
        <f t="shared" si="1"/>
        <v/>
      </c>
      <c r="AM2" s="4" t="str">
        <f t="shared" si="1"/>
        <v/>
      </c>
      <c r="AN2" s="4" t="str">
        <f t="shared" si="1"/>
        <v/>
      </c>
      <c r="AO2" s="4" t="str">
        <f t="shared" si="1"/>
        <v/>
      </c>
      <c r="AP2" s="4" t="str">
        <f t="shared" si="1"/>
        <v/>
      </c>
      <c r="AQ2" s="4" t="str">
        <f t="shared" si="1"/>
        <v/>
      </c>
      <c r="AR2" s="4" t="str">
        <f t="shared" si="1"/>
        <v/>
      </c>
      <c r="AS2" s="4" t="str">
        <f t="shared" si="1"/>
        <v/>
      </c>
      <c r="AT2" s="4" t="str">
        <f t="shared" si="1"/>
        <v/>
      </c>
      <c r="AU2" s="4" t="str">
        <f t="shared" si="1"/>
        <v/>
      </c>
      <c r="AV2" s="4" t="str">
        <f t="shared" si="1"/>
        <v/>
      </c>
      <c r="AW2" s="4" t="str">
        <f t="shared" si="1"/>
        <v/>
      </c>
      <c r="AX2" s="4" t="str">
        <f t="shared" si="1"/>
        <v/>
      </c>
      <c r="AY2" s="4" t="str">
        <f t="shared" si="1"/>
        <v/>
      </c>
      <c r="AZ2" s="4" t="str">
        <f t="shared" si="1"/>
        <v/>
      </c>
      <c r="BA2" s="4" t="str">
        <f t="shared" si="1"/>
        <v/>
      </c>
      <c r="BB2" s="4" t="str">
        <f t="shared" si="1"/>
        <v/>
      </c>
      <c r="BC2" s="4" t="str">
        <f t="shared" si="1"/>
        <v/>
      </c>
      <c r="BD2" s="4" t="str">
        <f t="shared" si="1"/>
        <v/>
      </c>
      <c r="BE2" s="4" t="str">
        <f t="shared" si="1"/>
        <v/>
      </c>
      <c r="BF2" s="4" t="str">
        <f t="shared" si="1"/>
        <v/>
      </c>
      <c r="BG2" s="4" t="str">
        <f t="shared" si="1"/>
        <v/>
      </c>
      <c r="BH2" s="4" t="str">
        <f t="shared" si="1"/>
        <v/>
      </c>
      <c r="BI2" s="4" t="str">
        <f t="shared" si="1"/>
        <v/>
      </c>
      <c r="BJ2" s="4" t="str">
        <f t="shared" si="1"/>
        <v/>
      </c>
    </row>
    <row r="3" spans="1:62" s="4" customFormat="1" x14ac:dyDescent="0.25">
      <c r="A3" s="6" t="str">
        <f>IF('Burndown Chart'!$L$3="","Hours Remaining",'Burndown Chart'!$L$3)</f>
        <v>Horas Restante</v>
      </c>
      <c r="B3" s="7">
        <f>SUM(Input!$B$3:$B$202)</f>
        <v>92</v>
      </c>
      <c r="C3" s="4">
        <f>IF(C$1="","",SUM(Input!C$3:C$202))</f>
        <v>82</v>
      </c>
      <c r="D3" s="4">
        <f>IF(D$1="","",SUM(Input!D$3:D$202))</f>
        <v>72</v>
      </c>
      <c r="E3" s="4">
        <f>IF(E$1="","",SUM(Input!E$3:E$202))</f>
        <v>61</v>
      </c>
      <c r="F3" s="4">
        <f>IF(F$1="","",SUM(Input!F$3:F$202))</f>
        <v>56</v>
      </c>
      <c r="G3" s="4">
        <f>IF(G$1="","",SUM(Input!G$3:G$202))</f>
        <v>56</v>
      </c>
      <c r="H3" s="4">
        <f>IF(H$1="","",SUM(Input!H$3:H$202))</f>
        <v>56</v>
      </c>
      <c r="I3" s="4">
        <f>IF(I$1="","",SUM(Input!I$3:I$202))</f>
        <v>47</v>
      </c>
      <c r="J3" s="4">
        <f>IF(J$1="","",SUM(Input!J$3:J$202))</f>
        <v>8</v>
      </c>
      <c r="K3" s="4" t="str">
        <f>IF(K$1="","",SUM(Input!K$3:K$202))</f>
        <v/>
      </c>
      <c r="L3" s="4" t="str">
        <f>IF(L$1="","",SUM(Input!L$3:L$202))</f>
        <v/>
      </c>
      <c r="M3" s="4" t="str">
        <f>IF(M$1="","",SUM(Input!M$3:M$202))</f>
        <v/>
      </c>
      <c r="N3" s="4" t="str">
        <f>IF(N$1="","",SUM(Input!N$3:N$202))</f>
        <v/>
      </c>
      <c r="O3" s="4" t="str">
        <f>IF(O$1="","",SUM(Input!O$3:O$202))</f>
        <v/>
      </c>
      <c r="P3" s="4" t="str">
        <f>IF(P$1="","",SUM(Input!P$3:P$202))</f>
        <v/>
      </c>
      <c r="Q3" s="4" t="str">
        <f>IF(Q$1="","",SUM(Input!Q$3:Q$202))</f>
        <v/>
      </c>
      <c r="R3" s="4" t="str">
        <f>IF(R$1="","",SUM(Input!R$3:R$202))</f>
        <v/>
      </c>
      <c r="S3" s="4" t="str">
        <f>IF(S$1="","",SUM(Input!S$3:S$202))</f>
        <v/>
      </c>
      <c r="T3" s="4" t="str">
        <f>IF(T$1="","",SUM(Input!T$3:T$202))</f>
        <v/>
      </c>
      <c r="U3" s="4" t="str">
        <f>IF(U$1="","",SUM(Input!U$3:U$202))</f>
        <v/>
      </c>
      <c r="V3" s="4" t="str">
        <f>IF(V$1="","",SUM(Input!V$3:V$202))</f>
        <v/>
      </c>
      <c r="W3" s="4" t="str">
        <f>IF(W$1="","",SUM(Input!W$3:W$202))</f>
        <v/>
      </c>
      <c r="X3" s="4" t="str">
        <f>IF(X$1="","",SUM(Input!X$3:X$202))</f>
        <v/>
      </c>
      <c r="Y3" s="4" t="str">
        <f>IF(Y$1="","",SUM(Input!Y$3:Y$202))</f>
        <v/>
      </c>
      <c r="Z3" s="4" t="str">
        <f>IF(Z$1="","",SUM(Input!Z$3:Z$202))</f>
        <v/>
      </c>
      <c r="AA3" s="4" t="str">
        <f>IF(AA$1="","",SUM(Input!AA$3:AA$202))</f>
        <v/>
      </c>
      <c r="AB3" s="4" t="str">
        <f>IF(AB$1="","",SUM(Input!AB$3:AB$202))</f>
        <v/>
      </c>
      <c r="AC3" s="4" t="str">
        <f>IF(AC$1="","",SUM(Input!AC$3:AC$202))</f>
        <v/>
      </c>
      <c r="AD3" s="4" t="str">
        <f>IF(AD$1="","",SUM(Input!AD$3:AD$202))</f>
        <v/>
      </c>
      <c r="AE3" s="4" t="str">
        <f>IF(AE$1="","",SUM(Input!AE$3:AE$202))</f>
        <v/>
      </c>
      <c r="AF3" s="4" t="str">
        <f>IF(AF$1="","",SUM(Input!AF$3:AF$202))</f>
        <v/>
      </c>
      <c r="AG3" s="4" t="str">
        <f>IF(AG$1="","",SUM(Input!AG$3:AG$202))</f>
        <v/>
      </c>
      <c r="AH3" s="4" t="str">
        <f>IF(AH$1="","",SUM(Input!AH$3:AH$202))</f>
        <v/>
      </c>
      <c r="AI3" s="4" t="str">
        <f>IF(AI$1="","",SUM(Input!AI$3:AI$202))</f>
        <v/>
      </c>
      <c r="AJ3" s="4" t="str">
        <f>IF(AJ$1="","",SUM(Input!AJ$3:AJ$202))</f>
        <v/>
      </c>
      <c r="AK3" s="4" t="str">
        <f>IF(AK$1="","",SUM(Input!AK$3:AK$202))</f>
        <v/>
      </c>
      <c r="AL3" s="4" t="str">
        <f>IF(AL$1="","",SUM(Input!AL$3:AL$202))</f>
        <v/>
      </c>
      <c r="AM3" s="4" t="str">
        <f>IF(AM$1="","",SUM(Input!AM$3:AM$202))</f>
        <v/>
      </c>
      <c r="AN3" s="4" t="str">
        <f>IF(AN$1="","",SUM(Input!AN$3:AN$202))</f>
        <v/>
      </c>
      <c r="AO3" s="4" t="str">
        <f>IF(AO$1="","",SUM(Input!AO$3:AO$202))</f>
        <v/>
      </c>
      <c r="AP3" s="4" t="str">
        <f>IF(AP$1="","",SUM(Input!AP$3:AP$202))</f>
        <v/>
      </c>
      <c r="AQ3" s="4" t="str">
        <f>IF(AQ$1="","",SUM(Input!AQ$3:AQ$202))</f>
        <v/>
      </c>
      <c r="AR3" s="4" t="str">
        <f>IF(AR$1="","",SUM(Input!AR$3:AR$202))</f>
        <v/>
      </c>
      <c r="AS3" s="4" t="str">
        <f>IF(AS$1="","",SUM(Input!AS$3:AS$202))</f>
        <v/>
      </c>
      <c r="AT3" s="4" t="str">
        <f>IF(AT$1="","",SUM(Input!AT$3:AT$202))</f>
        <v/>
      </c>
      <c r="AU3" s="4" t="str">
        <f>IF(AU$1="","",SUM(Input!AU$3:AU$202))</f>
        <v/>
      </c>
      <c r="AV3" s="4" t="str">
        <f>IF(AV$1="","",SUM(Input!AV$3:AV$202))</f>
        <v/>
      </c>
      <c r="AW3" s="4" t="str">
        <f>IF(AW$1="","",SUM(Input!AW$3:AW$202))</f>
        <v/>
      </c>
      <c r="AX3" s="4" t="str">
        <f>IF(AX$1="","",SUM(Input!AX$3:AX$202))</f>
        <v/>
      </c>
      <c r="AY3" s="4" t="str">
        <f>IF(AY$1="","",SUM(Input!AY$3:AY$202))</f>
        <v/>
      </c>
      <c r="AZ3" s="4" t="str">
        <f>IF(AZ$1="","",SUM(Input!AZ$3:AZ$202))</f>
        <v/>
      </c>
      <c r="BA3" s="4" t="str">
        <f>IF(BA$1="","",SUM(Input!BA$3:BA$202))</f>
        <v/>
      </c>
      <c r="BB3" s="4" t="str">
        <f>IF(BB$1="","",SUM(Input!BB$3:BB$202))</f>
        <v/>
      </c>
      <c r="BC3" s="4" t="str">
        <f>IF(BC$1="","",SUM(Input!BC$3:BC$202))</f>
        <v/>
      </c>
      <c r="BD3" s="4" t="str">
        <f>IF(BD$1="","",SUM(Input!BD$3:BD$202))</f>
        <v/>
      </c>
      <c r="BE3" s="4" t="str">
        <f>IF(BE$1="","",SUM(Input!BE$3:BE$202))</f>
        <v/>
      </c>
      <c r="BF3" s="4" t="str">
        <f>IF(BF$1="","",SUM(Input!BF$3:BF$202))</f>
        <v/>
      </c>
      <c r="BG3" s="4" t="str">
        <f>IF(BG$1="","",SUM(Input!BG$3:BG$202))</f>
        <v/>
      </c>
      <c r="BH3" s="4" t="str">
        <f>IF(BH$1="","",SUM(Input!BH$3:BH$202))</f>
        <v/>
      </c>
      <c r="BI3" s="4" t="str">
        <f>IF(BI$1="","",SUM(Input!BI$3:BI$202))</f>
        <v/>
      </c>
      <c r="BJ3" s="4" t="str">
        <f>IF(BJ$1="","",SUM(Input!BJ$3:BJ$202))</f>
        <v/>
      </c>
    </row>
    <row r="4" spans="1:62" x14ac:dyDescent="0.25">
      <c r="A4" s="1" t="s">
        <v>17</v>
      </c>
      <c r="B4" s="2">
        <v>0</v>
      </c>
      <c r="C4">
        <f ca="1">IF(C$1="","",CountCTs(Input!C$3:C$202))</f>
        <v>0</v>
      </c>
      <c r="D4">
        <f ca="1">IF(D$1="","",CountCTs(Input!D$3:D$202))</f>
        <v>0</v>
      </c>
      <c r="E4">
        <f ca="1">IF(E$1="","",CountCTs(Input!E$3:E$202))</f>
        <v>0</v>
      </c>
      <c r="F4">
        <f ca="1">IF(F$1="","",CountCTs(Input!F$3:F$202))</f>
        <v>1</v>
      </c>
      <c r="G4">
        <f ca="1">IF(G$1="","",CountCTs(Input!G$3:G$202))</f>
        <v>0</v>
      </c>
      <c r="H4">
        <f ca="1">IF(H$1="","",CountCTs(Input!H$3:H$202))</f>
        <v>0</v>
      </c>
      <c r="I4">
        <f ca="1">IF(I$1="","",CountCTs(Input!I$3:I$202))</f>
        <v>1</v>
      </c>
      <c r="J4">
        <f ca="1">IF(J$1="","",CountCTs(Input!J$3:J$202))</f>
        <v>2</v>
      </c>
      <c r="K4" t="str">
        <f>IF(K$1="","",CountCTs(Input!K$3:K$202))</f>
        <v/>
      </c>
      <c r="L4" t="str">
        <f>IF(L$1="","",CountCTs(Input!L$3:L$202))</f>
        <v/>
      </c>
      <c r="M4" t="str">
        <f>IF(M$1="","",CountCTs(Input!M$3:M$202))</f>
        <v/>
      </c>
      <c r="N4" t="str">
        <f>IF(N$1="","",CountCTs(Input!N$3:N$202))</f>
        <v/>
      </c>
      <c r="O4" t="str">
        <f>IF(O$1="","",CountCTs(Input!O$3:O$202))</f>
        <v/>
      </c>
      <c r="P4" t="str">
        <f>IF(P$1="","",CountCTs(Input!P$3:P$202))</f>
        <v/>
      </c>
      <c r="Q4" t="str">
        <f>IF(Q$1="","",CountCTs(Input!Q$3:Q$202))</f>
        <v/>
      </c>
      <c r="R4" t="str">
        <f>IF(R$1="","",CountCTs(Input!R$3:R$202))</f>
        <v/>
      </c>
      <c r="S4" t="str">
        <f>IF(S$1="","",CountCTs(Input!S$3:S$202))</f>
        <v/>
      </c>
      <c r="T4" t="str">
        <f>IF(T$1="","",CountCTs(Input!T$3:T$202))</f>
        <v/>
      </c>
      <c r="U4" t="str">
        <f>IF(U$1="","",CountCTs(Input!U$3:U$202))</f>
        <v/>
      </c>
      <c r="V4" t="str">
        <f>IF(V$1="","",CountCTs(Input!V$3:V$202))</f>
        <v/>
      </c>
      <c r="W4" t="str">
        <f>IF(W$1="","",CountCTs(Input!W$3:W$202))</f>
        <v/>
      </c>
      <c r="X4" t="str">
        <f>IF(X$1="","",CountCTs(Input!X$3:X$202))</f>
        <v/>
      </c>
      <c r="Y4" t="str">
        <f>IF(Y$1="","",CountCTs(Input!Y$3:Y$202))</f>
        <v/>
      </c>
      <c r="Z4" t="str">
        <f>IF(Z$1="","",CountCTs(Input!Z$3:Z$202))</f>
        <v/>
      </c>
      <c r="AA4" t="str">
        <f>IF(AA$1="","",CountCTs(Input!AA$3:AA$202))</f>
        <v/>
      </c>
      <c r="AB4" t="str">
        <f>IF(AB$1="","",CountCTs(Input!AB$3:AB$202))</f>
        <v/>
      </c>
      <c r="AC4" t="str">
        <f>IF(AC$1="","",CountCTs(Input!AC$3:AC$202))</f>
        <v/>
      </c>
      <c r="AD4" t="str">
        <f>IF(AD$1="","",CountCTs(Input!AD$3:AD$202))</f>
        <v/>
      </c>
      <c r="AE4" t="str">
        <f>IF(AE$1="","",CountCTs(Input!AE$3:AE$202))</f>
        <v/>
      </c>
      <c r="AF4" t="str">
        <f>IF(AF$1="","",CountCTs(Input!AF$3:AF$202))</f>
        <v/>
      </c>
      <c r="AG4" t="str">
        <f>IF(AG$1="","",CountCTs(Input!AG$3:AG$202))</f>
        <v/>
      </c>
      <c r="AH4" t="str">
        <f>IF(AH$1="","",CountCTs(Input!AH$3:AH$202))</f>
        <v/>
      </c>
      <c r="AI4" t="str">
        <f>IF(AI$1="","",CountCTs(Input!AI$3:AI$202))</f>
        <v/>
      </c>
      <c r="AJ4" t="str">
        <f>IF(AJ$1="","",CountCTs(Input!AJ$3:AJ$202))</f>
        <v/>
      </c>
      <c r="AK4" t="str">
        <f>IF(AK$1="","",CountCTs(Input!AK$3:AK$202))</f>
        <v/>
      </c>
      <c r="AL4" t="str">
        <f>IF(AL$1="","",CountCTs(Input!AL$3:AL$202))</f>
        <v/>
      </c>
      <c r="AM4" t="str">
        <f>IF(AM$1="","",CountCTs(Input!AM$3:AM$202))</f>
        <v/>
      </c>
      <c r="AN4" t="str">
        <f>IF(AN$1="","",CountCTs(Input!AN$3:AN$202))</f>
        <v/>
      </c>
      <c r="AO4" t="str">
        <f>IF(AO$1="","",CountCTs(Input!AO$3:AO$202))</f>
        <v/>
      </c>
      <c r="AP4" t="str">
        <f>IF(AP$1="","",CountCTs(Input!AP$3:AP$202))</f>
        <v/>
      </c>
      <c r="AQ4" t="str">
        <f>IF(AQ$1="","",CountCTs(Input!AQ$3:AQ$202))</f>
        <v/>
      </c>
      <c r="AR4" t="str">
        <f>IF(AR$1="","",CountCTs(Input!AR$3:AR$202))</f>
        <v/>
      </c>
      <c r="AS4" t="str">
        <f>IF(AS$1="","",CountCTs(Input!AS$3:AS$202))</f>
        <v/>
      </c>
      <c r="AT4" t="str">
        <f>IF(AT$1="","",CountCTs(Input!AT$3:AT$202))</f>
        <v/>
      </c>
      <c r="AU4" t="str">
        <f>IF(AU$1="","",CountCTs(Input!AU$3:AU$202))</f>
        <v/>
      </c>
      <c r="AV4" t="str">
        <f>IF(AV$1="","",CountCTs(Input!AV$3:AV$202))</f>
        <v/>
      </c>
      <c r="AW4" t="str">
        <f>IF(AW$1="","",CountCTs(Input!AW$3:AW$202))</f>
        <v/>
      </c>
      <c r="AX4" t="str">
        <f>IF(AX$1="","",CountCTs(Input!AX$3:AX$202))</f>
        <v/>
      </c>
      <c r="AY4" t="str">
        <f>IF(AY$1="","",CountCTs(Input!AY$3:AY$202))</f>
        <v/>
      </c>
      <c r="AZ4" t="str">
        <f>IF(AZ$1="","",CountCTs(Input!AZ$3:AZ$202))</f>
        <v/>
      </c>
      <c r="BA4" t="str">
        <f>IF(BA$1="","",CountCTs(Input!BA$3:BA$202))</f>
        <v/>
      </c>
      <c r="BB4" t="str">
        <f>IF(BB$1="","",CountCTs(Input!BB$3:BB$202))</f>
        <v/>
      </c>
      <c r="BC4" t="str">
        <f>IF(BC$1="","",CountCTs(Input!BC$3:BC$202))</f>
        <v/>
      </c>
      <c r="BD4" t="str">
        <f>IF(BD$1="","",CountCTs(Input!BD$3:BD$202))</f>
        <v/>
      </c>
      <c r="BE4" t="str">
        <f>IF(BE$1="","",CountCTs(Input!BE$3:BE$202))</f>
        <v/>
      </c>
      <c r="BF4" t="str">
        <f>IF(BF$1="","",CountCTs(Input!BF$3:BF$202))</f>
        <v/>
      </c>
      <c r="BG4" t="str">
        <f>IF(BG$1="","",CountCTs(Input!BG$3:BG$202))</f>
        <v/>
      </c>
      <c r="BH4" t="str">
        <f>IF(BH$1="","",CountCTs(Input!BH$3:BH$202))</f>
        <v/>
      </c>
      <c r="BI4" t="str">
        <f>IF(BI$1="","",CountCTs(Input!BI$3:BI$202))</f>
        <v/>
      </c>
      <c r="BJ4" t="str">
        <f>IF(BJ$1="","",CountCTs(Input!BJ$3:BJ$202))</f>
        <v/>
      </c>
    </row>
    <row r="5" spans="1:62" x14ac:dyDescent="0.25">
      <c r="A5" s="1" t="s">
        <v>18</v>
      </c>
      <c r="B5" s="2">
        <f>SUMPRODUCT(--(Input!$A$3:$A$202&lt;&gt;""))</f>
        <v>15</v>
      </c>
      <c r="C5">
        <f ca="1">IF(C$1="","",B$5-C4)</f>
        <v>15</v>
      </c>
      <c r="D5">
        <f t="shared" ref="D5:BJ5" ca="1" si="2">IF(D$1="","",C$5-D4)</f>
        <v>15</v>
      </c>
      <c r="E5">
        <f t="shared" ca="1" si="2"/>
        <v>15</v>
      </c>
      <c r="F5">
        <f t="shared" ca="1" si="2"/>
        <v>14</v>
      </c>
      <c r="G5">
        <f t="shared" ca="1" si="2"/>
        <v>14</v>
      </c>
      <c r="H5">
        <f t="shared" ca="1" si="2"/>
        <v>14</v>
      </c>
      <c r="I5">
        <f t="shared" ca="1" si="2"/>
        <v>13</v>
      </c>
      <c r="J5">
        <f t="shared" ca="1" si="2"/>
        <v>11</v>
      </c>
      <c r="K5" t="str">
        <f t="shared" si="2"/>
        <v/>
      </c>
      <c r="L5" t="str">
        <f t="shared" si="2"/>
        <v/>
      </c>
      <c r="M5" t="str">
        <f t="shared" si="2"/>
        <v/>
      </c>
      <c r="N5" t="str">
        <f t="shared" si="2"/>
        <v/>
      </c>
      <c r="O5" t="str">
        <f t="shared" si="2"/>
        <v/>
      </c>
      <c r="P5" t="str">
        <f t="shared" si="2"/>
        <v/>
      </c>
      <c r="Q5" t="str">
        <f t="shared" si="2"/>
        <v/>
      </c>
      <c r="R5" t="str">
        <f t="shared" si="2"/>
        <v/>
      </c>
      <c r="S5" t="str">
        <f t="shared" si="2"/>
        <v/>
      </c>
      <c r="T5" t="str">
        <f t="shared" si="2"/>
        <v/>
      </c>
      <c r="U5" t="str">
        <f t="shared" si="2"/>
        <v/>
      </c>
      <c r="V5" t="str">
        <f t="shared" si="2"/>
        <v/>
      </c>
      <c r="W5" t="str">
        <f t="shared" si="2"/>
        <v/>
      </c>
      <c r="X5" t="str">
        <f t="shared" si="2"/>
        <v/>
      </c>
      <c r="Y5" t="str">
        <f t="shared" si="2"/>
        <v/>
      </c>
      <c r="Z5" t="str">
        <f t="shared" si="2"/>
        <v/>
      </c>
      <c r="AA5" t="str">
        <f t="shared" si="2"/>
        <v/>
      </c>
      <c r="AB5" t="str">
        <f t="shared" si="2"/>
        <v/>
      </c>
      <c r="AC5" t="str">
        <f t="shared" si="2"/>
        <v/>
      </c>
      <c r="AD5" t="str">
        <f t="shared" si="2"/>
        <v/>
      </c>
      <c r="AE5" t="str">
        <f t="shared" si="2"/>
        <v/>
      </c>
      <c r="AF5" t="str">
        <f t="shared" si="2"/>
        <v/>
      </c>
      <c r="AG5" t="str">
        <f t="shared" si="2"/>
        <v/>
      </c>
      <c r="AH5" t="str">
        <f t="shared" si="2"/>
        <v/>
      </c>
      <c r="AI5" t="str">
        <f t="shared" si="2"/>
        <v/>
      </c>
      <c r="AJ5" t="str">
        <f t="shared" si="2"/>
        <v/>
      </c>
      <c r="AK5" t="str">
        <f t="shared" si="2"/>
        <v/>
      </c>
      <c r="AL5" t="str">
        <f t="shared" si="2"/>
        <v/>
      </c>
      <c r="AM5" t="str">
        <f t="shared" si="2"/>
        <v/>
      </c>
      <c r="AN5" t="str">
        <f t="shared" si="2"/>
        <v/>
      </c>
      <c r="AO5" t="str">
        <f t="shared" si="2"/>
        <v/>
      </c>
      <c r="AP5" t="str">
        <f t="shared" si="2"/>
        <v/>
      </c>
      <c r="AQ5" t="str">
        <f t="shared" si="2"/>
        <v/>
      </c>
      <c r="AR5" t="str">
        <f t="shared" si="2"/>
        <v/>
      </c>
      <c r="AS5" t="str">
        <f t="shared" si="2"/>
        <v/>
      </c>
      <c r="AT5" t="str">
        <f t="shared" si="2"/>
        <v/>
      </c>
      <c r="AU5" t="str">
        <f t="shared" si="2"/>
        <v/>
      </c>
      <c r="AV5" t="str">
        <f t="shared" si="2"/>
        <v/>
      </c>
      <c r="AW5" t="str">
        <f t="shared" si="2"/>
        <v/>
      </c>
      <c r="AX5" t="str">
        <f t="shared" si="2"/>
        <v/>
      </c>
      <c r="AY5" t="str">
        <f t="shared" si="2"/>
        <v/>
      </c>
      <c r="AZ5" t="str">
        <f t="shared" si="2"/>
        <v/>
      </c>
      <c r="BA5" t="str">
        <f t="shared" si="2"/>
        <v/>
      </c>
      <c r="BB5" t="str">
        <f t="shared" si="2"/>
        <v/>
      </c>
      <c r="BC5" t="str">
        <f t="shared" si="2"/>
        <v/>
      </c>
      <c r="BD5" t="str">
        <f t="shared" si="2"/>
        <v/>
      </c>
      <c r="BE5" t="str">
        <f t="shared" si="2"/>
        <v/>
      </c>
      <c r="BF5" t="str">
        <f t="shared" si="2"/>
        <v/>
      </c>
      <c r="BG5" t="str">
        <f t="shared" si="2"/>
        <v/>
      </c>
      <c r="BH5" t="str">
        <f t="shared" si="2"/>
        <v/>
      </c>
      <c r="BI5" t="str">
        <f t="shared" si="2"/>
        <v/>
      </c>
      <c r="BJ5" t="str">
        <f t="shared" si="2"/>
        <v/>
      </c>
    </row>
    <row r="7" spans="1:62" x14ac:dyDescent="0.25">
      <c r="A7"/>
    </row>
    <row r="8" spans="1:62" x14ac:dyDescent="0.25">
      <c r="A8"/>
    </row>
    <row r="9" spans="1:62" x14ac:dyDescent="0.25">
      <c r="A9"/>
    </row>
    <row r="10" spans="1:62" x14ac:dyDescent="0.25">
      <c r="A10"/>
    </row>
    <row r="11" spans="1:62" x14ac:dyDescent="0.25">
      <c r="A11"/>
    </row>
    <row r="12" spans="1:62" x14ac:dyDescent="0.25">
      <c r="A12"/>
    </row>
    <row r="13" spans="1:62" x14ac:dyDescent="0.25">
      <c r="A13"/>
    </row>
    <row r="14" spans="1:62" x14ac:dyDescent="0.25">
      <c r="A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Burndown Chart</vt:lpstr>
      <vt:lpstr>Input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Vijay A. Verma</dc:creator>
  <cp:lastModifiedBy>Nickolas</cp:lastModifiedBy>
  <cp:lastPrinted>2016-02-23T08:42:38Z</cp:lastPrinted>
  <dcterms:created xsi:type="dcterms:W3CDTF">2016-02-23T08:35:30Z</dcterms:created>
  <dcterms:modified xsi:type="dcterms:W3CDTF">2018-12-03T16:25:41Z</dcterms:modified>
</cp:coreProperties>
</file>