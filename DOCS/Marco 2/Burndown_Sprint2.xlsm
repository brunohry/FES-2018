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J4" i="4"/>
  <c r="R4" i="4"/>
  <c r="M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<sst xmlns="http://schemas.openxmlformats.org/spreadsheetml/2006/main" count="25" uniqueCount="25">
  <si>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</si>
  <si>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</si>
  <si>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</si>
  <si>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</si>
  <si>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</si>
  <si>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</si>
  <si>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</si>
  <si>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</si>
  <si>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</si>
  <si>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</si>
  <si>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</si>
  <si>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</si>
  <si>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</si>
  <si>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</si>
  <si>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</si>
  <si>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</si>
  <si>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</si>
  <si>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</si>
  <si>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</si>
  <si>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</si>
  <si>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</si>
  <si>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</si>
  <si>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</si>
  <si>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</si>
  <si>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segunda Sprint, 20/09 a 26/09.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</si>
</sst>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106</c:v>
                </c:pt>
                <c:pt idx="1">
                  <c:v>90.857142857142861</c:v>
                </c:pt>
                <c:pt idx="2">
                  <c:v>75.714285714285722</c:v>
                </c:pt>
                <c:pt idx="3">
                  <c:v>60.571428571428584</c:v>
                </c:pt>
                <c:pt idx="4">
                  <c:v>45.428571428571445</c:v>
                </c:pt>
                <c:pt idx="5">
                  <c:v>30.285714285714302</c:v>
                </c:pt>
                <c:pt idx="6">
                  <c:v>15.14285714285716</c:v>
                </c:pt>
                <c:pt idx="7">
                  <c:v>1.7763568394002505E-14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106</c:v>
                </c:pt>
                <c:pt idx="1">
                  <c:v>82</c:v>
                </c:pt>
                <c:pt idx="2">
                  <c:v>76</c:v>
                </c:pt>
                <c:pt idx="3">
                  <c:v>64</c:v>
                </c:pt>
                <c:pt idx="4">
                  <c:v>55</c:v>
                </c:pt>
                <c:pt idx="5">
                  <c:v>42</c:v>
                </c:pt>
                <c:pt idx="6">
                  <c:v>40</c:v>
                </c:pt>
                <c:pt idx="7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106</c:v>
                </c:pt>
                <c:pt idx="1">
                  <c:v>82</c:v>
                </c:pt>
                <c:pt idx="2">
                  <c:v>76</c:v>
                </c:pt>
                <c:pt idx="3">
                  <c:v>64</c:v>
                </c:pt>
                <c:pt idx="4">
                  <c:v>55</c:v>
                </c:pt>
                <c:pt idx="5">
                  <c:v>42</c:v>
                </c:pt>
                <c:pt idx="6">
                  <c:v>40</c:v>
                </c:pt>
                <c:pt idx="7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106</c:v>
                </c:pt>
                <c:pt idx="1">
                  <c:v>90.857142857142861</c:v>
                </c:pt>
                <c:pt idx="2">
                  <c:v>75.714285714285722</c:v>
                </c:pt>
                <c:pt idx="3">
                  <c:v>60.571428571428584</c:v>
                </c:pt>
                <c:pt idx="4">
                  <c:v>45.428571428571445</c:v>
                </c:pt>
                <c:pt idx="5">
                  <c:v>30.285714285714302</c:v>
                </c:pt>
                <c:pt idx="6">
                  <c:v>15.14285714285716</c:v>
                </c:pt>
                <c:pt idx="7">
                  <c:v>1.7763568394002505E-14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106</c:v>
                </c:pt>
                <c:pt idx="1">
                  <c:v>82</c:v>
                </c:pt>
                <c:pt idx="2">
                  <c:v>76</c:v>
                </c:pt>
                <c:pt idx="3">
                  <c:v>64</c:v>
                </c:pt>
                <c:pt idx="4">
                  <c:v>55</c:v>
                </c:pt>
                <c:pt idx="5">
                  <c:v>42</c:v>
                </c:pt>
                <c:pt idx="6">
                  <c:v>40</c:v>
                </c:pt>
                <c:pt idx="7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106</c:v>
                </c:pt>
                <c:pt idx="1">
                  <c:v>90.857142857142861</c:v>
                </c:pt>
                <c:pt idx="2">
                  <c:v>75.714285714285722</c:v>
                </c:pt>
                <c:pt idx="3">
                  <c:v>60.571428571428584</c:v>
                </c:pt>
                <c:pt idx="4">
                  <c:v>45.428571428571445</c:v>
                </c:pt>
                <c:pt idx="5">
                  <c:v>30.285714285714302</c:v>
                </c:pt>
                <c:pt idx="6">
                  <c:v>15.14285714285716</c:v>
                </c:pt>
                <c:pt idx="7">
                  <c:v>1.7763568394002505E-14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8"/>
                <c:pt idx="0">
                  <c:v>106</c:v>
                </c:pt>
                <c:pt idx="1">
                  <c:v>90.857142857142861</c:v>
                </c:pt>
                <c:pt idx="2">
                  <c:v>75.714285714285722</c:v>
                </c:pt>
                <c:pt idx="3">
                  <c:v>60.571428571428584</c:v>
                </c:pt>
                <c:pt idx="4">
                  <c:v>45.428571428571445</c:v>
                </c:pt>
                <c:pt idx="5">
                  <c:v>30.285714285714302</c:v>
                </c:pt>
                <c:pt idx="6">
                  <c:v>15.14285714285716</c:v>
                </c:pt>
                <c:pt idx="7">
                  <c:v>1.7763568394002505E-14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8"/>
                <c:pt idx="0">
                  <c:v>Day 0</c:v>
                </c:pt>
                <c:pt idx="1">
                  <c:v>20-Sep-18</c:v>
                </c:pt>
                <c:pt idx="2">
                  <c:v>21-Sep-18</c:v>
                </c:pt>
                <c:pt idx="3">
                  <c:v>22-Sep-18</c:v>
                </c:pt>
                <c:pt idx="4">
                  <c:v>23-Sep-18</c:v>
                </c:pt>
                <c:pt idx="5">
                  <c:v>24-Sep-18</c:v>
                </c:pt>
                <c:pt idx="6">
                  <c:v>25-Sep-18</c:v>
                </c:pt>
                <c:pt idx="7">
                  <c:v>26-Sep-18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8"/>
                <c:pt idx="0">
                  <c:v>106</c:v>
                </c:pt>
                <c:pt idx="1">
                  <c:v>82</c:v>
                </c:pt>
                <c:pt idx="2">
                  <c:v>76</c:v>
                </c:pt>
                <c:pt idx="3">
                  <c:v>64</c:v>
                </c:pt>
                <c:pt idx="4">
                  <c:v>55</c:v>
                </c:pt>
                <c:pt idx="5">
                  <c:v>42</c:v>
                </c:pt>
                <c:pt idx="6">
                  <c:v>40</c:v>
                </c:pt>
                <c:pt idx="7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tabSelected="1" workbookViewId="0">
      <selection activeCell="N2" sqref="N2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opLeftCell="B1" workbookViewId="0">
      <pane ySplit="2" topLeftCell="A3" activePane="bottomLeft" state="frozen"/>
      <selection pane="bottomLeft" activeCell="H11" sqref="H11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43363</v>
      </c>
      <c r="D2" s="5">
        <v>43364</v>
      </c>
      <c r="E2" s="5">
        <v>43365</v>
      </c>
      <c r="F2" s="5">
        <v>43366</v>
      </c>
      <c r="G2" s="5">
        <v>43367</v>
      </c>
      <c r="H2" s="5">
        <v>43368</v>
      </c>
      <c r="I2" s="5">
        <v>43369</v>
      </c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8</v>
      </c>
      <c r="C3" s="3">
        <v>1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28</v>
      </c>
      <c r="C4" s="3">
        <v>20</v>
      </c>
      <c r="D4" s="3">
        <v>18</v>
      </c>
      <c r="E4" s="3">
        <v>13</v>
      </c>
      <c r="F4" s="3">
        <v>10</v>
      </c>
      <c r="G4" s="3">
        <v>4</v>
      </c>
      <c r="H4" s="3">
        <v>2</v>
      </c>
      <c r="I4" s="3">
        <v>0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23</v>
      </c>
      <c r="C5" s="3">
        <v>15</v>
      </c>
      <c r="D5" s="3">
        <v>15</v>
      </c>
      <c r="E5" s="3">
        <v>8</v>
      </c>
      <c r="F5" s="3">
        <v>5</v>
      </c>
      <c r="G5" s="3">
        <v>0</v>
      </c>
      <c r="H5" s="3">
        <v>0</v>
      </c>
      <c r="I5" s="3">
        <v>0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18</v>
      </c>
      <c r="C6" s="3">
        <v>18</v>
      </c>
      <c r="D6" s="3">
        <v>18</v>
      </c>
      <c r="E6" s="3">
        <v>18</v>
      </c>
      <c r="F6" s="3">
        <v>18</v>
      </c>
      <c r="G6" s="3">
        <v>18</v>
      </c>
      <c r="H6" s="3">
        <v>18</v>
      </c>
      <c r="I6" s="3">
        <v>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9</v>
      </c>
      <c r="C7" s="3">
        <v>8</v>
      </c>
      <c r="D7" s="3">
        <v>5</v>
      </c>
      <c r="E7" s="3">
        <v>5</v>
      </c>
      <c r="F7" s="3">
        <v>2</v>
      </c>
      <c r="G7" s="3">
        <v>0</v>
      </c>
      <c r="H7" s="3">
        <v>0</v>
      </c>
      <c r="I7" s="3">
        <v>0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B8">
        <v>20</v>
      </c>
      <c r="C8" s="3">
        <v>20</v>
      </c>
      <c r="D8" s="3">
        <v>20</v>
      </c>
      <c r="E8" s="3">
        <v>20</v>
      </c>
      <c r="F8" s="3">
        <v>20</v>
      </c>
      <c r="G8" s="3">
        <v>20</v>
      </c>
      <c r="H8" s="3">
        <v>20</v>
      </c>
      <c r="I8" s="3">
        <v>15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43363</v>
      </c>
      <c r="D1" s="8">
        <f>IF(Input!D$2="","",Input!D$2)</f>
        <v>43364</v>
      </c>
      <c r="E1" s="8">
        <f>IF(Input!E$2="","",Input!E$2)</f>
        <v>43365</v>
      </c>
      <c r="F1" s="8">
        <f>IF(Input!F$2="","",Input!F$2)</f>
        <v>43366</v>
      </c>
      <c r="G1" s="8">
        <f>IF(Input!G$2="","",Input!G$2)</f>
        <v>43367</v>
      </c>
      <c r="H1" s="8">
        <f>IF(Input!H$2="","",Input!H$2)</f>
        <v>43368</v>
      </c>
      <c r="I1" s="8">
        <f>IF(Input!I$2="","",Input!I$2)</f>
        <v>43369</v>
      </c>
      <c r="J1" s="8" t="str">
        <f>IF(Input!J$2="","",Input!J$2)</f>
        <v/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106</v>
      </c>
      <c r="C2" s="4">
        <f t="shared" ref="C2:AH2" si="0">IF(C$1="","",B$2-$B$2/(SUMPRODUCT(--($C$1:$BJ$1&lt;&gt;""))))</f>
        <v>90.857142857142861</v>
      </c>
      <c r="D2" s="4">
        <f t="shared" si="0"/>
        <v>75.714285714285722</v>
      </c>
      <c r="E2" s="4">
        <f t="shared" si="0"/>
        <v>60.571428571428584</v>
      </c>
      <c r="F2" s="4">
        <f t="shared" si="0"/>
        <v>45.428571428571445</v>
      </c>
      <c r="G2" s="4">
        <f t="shared" si="0"/>
        <v>30.285714285714302</v>
      </c>
      <c r="H2" s="4">
        <f t="shared" si="0"/>
        <v>15.14285714285716</v>
      </c>
      <c r="I2" s="4">
        <f t="shared" si="0"/>
        <v>1.7763568394002505E-14</v>
      </c>
      <c r="J2" s="4" t="str">
        <f t="shared" si="0"/>
        <v/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106</v>
      </c>
      <c r="C3" s="4">
        <f>IF(C$1="","",SUM(Input!C$3:C$202))</f>
        <v>82</v>
      </c>
      <c r="D3" s="4">
        <f>IF(D$1="","",SUM(Input!D$3:D$202))</f>
        <v>76</v>
      </c>
      <c r="E3" s="4">
        <f>IF(E$1="","",SUM(Input!E$3:E$202))</f>
        <v>64</v>
      </c>
      <c r="F3" s="4">
        <f>IF(F$1="","",SUM(Input!F$3:F$202))</f>
        <v>55</v>
      </c>
      <c r="G3" s="4">
        <f>IF(G$1="","",SUM(Input!G$3:G$202))</f>
        <v>42</v>
      </c>
      <c r="H3" s="4">
        <f>IF(H$1="","",SUM(Input!H$3:H$202))</f>
        <v>40</v>
      </c>
      <c r="I3" s="4">
        <f>IF(I$1="","",SUM(Input!I$3:I$202))</f>
        <v>33</v>
      </c>
      <c r="J3" s="4" t="str">
        <f>IF(J$1="","",SUM(Input!J$3:J$202))</f>
        <v/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1</v>
      </c>
      <c r="E4">
        <f ca="1">IF(E$1="","",CountCTs(Input!E$3:E$202))</f>
        <v>0</v>
      </c>
      <c r="F4">
        <f ca="1">IF(F$1="","",CountCTs(Input!F$3:F$202))</f>
        <v>0</v>
      </c>
      <c r="G4">
        <f ca="1">IF(G$1="","",CountCTs(Input!G$3:G$202))</f>
        <v>2</v>
      </c>
      <c r="H4">
        <f ca="1">IF(H$1="","",CountCTs(Input!H$3:H$202))</f>
        <v>0</v>
      </c>
      <c r="I4">
        <f ca="1">IF(I$1="","",CountCTs(Input!I$3:I$202))</f>
        <v>1</v>
      </c>
      <c r="J4" t="str">
        <f>IF(J$1="","",CountCTs(Input!J$3:J$202))</f>
        <v/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14</v>
      </c>
      <c r="E5">
        <f t="shared" ca="1" si="2"/>
        <v>14</v>
      </c>
      <c r="F5">
        <f t="shared" ca="1" si="2"/>
        <v>14</v>
      </c>
      <c r="G5">
        <f t="shared" ca="1" si="2"/>
        <v>12</v>
      </c>
      <c r="H5">
        <f t="shared" ca="1" si="2"/>
        <v>12</v>
      </c>
      <c r="I5">
        <f t="shared" ca="1" si="2"/>
        <v>11</v>
      </c>
      <c r="J5" t="str">
        <f t="shared" si="2"/>
        <v/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2018-12-03T16:06:38Z</dcterms:modified>
</cp:coreProperties>
</file>